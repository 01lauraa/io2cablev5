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igitalworkplaces-my.sharepoint.com/personal/lauragozzo_erco_nl/Documents/Bureaublad/io2cable/inputs/"/>
    </mc:Choice>
  </mc:AlternateContent>
  <xr:revisionPtr revIDLastSave="1528" documentId="8_{15F432F0-1564-47D5-839D-B460D49C2A61}" xr6:coauthVersionLast="47" xr6:coauthVersionMax="47" xr10:uidLastSave="{6EAA8432-DFC6-42B2-9DEC-5C00D95D9B37}"/>
  <bookViews>
    <workbookView xWindow="-26268" yWindow="1296" windowWidth="23016" windowHeight="13656" xr2:uid="{00000000-000D-0000-FFFF-FFFF00000000}"/>
  </bookViews>
  <sheets>
    <sheet name="RK1" sheetId="19" r:id="rId1"/>
    <sheet name="RK3" sheetId="21" r:id="rId2"/>
    <sheet name="RK4" sheetId="20" r:id="rId3"/>
    <sheet name="Module1" sheetId="17" state="veryHidden" r:id="rId4"/>
    <sheet name="Module2" sheetId="18" state="veryHidden" r:id="rId5"/>
  </sheets>
  <definedNames>
    <definedName name="_xlnm._FilterDatabase" localSheetId="0" hidden="1">'RK1'!#REF!</definedName>
    <definedName name="_xlnm.Print_Area" localSheetId="0">'RK1'!$A$1:$W$59</definedName>
    <definedName name="_xlnm.Print_Titles" localSheetId="0">'RK1'!$1:$17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19" l="1"/>
  <c r="K59" i="19"/>
  <c r="I57" i="19"/>
  <c r="J59" i="19"/>
  <c r="K27" i="20"/>
  <c r="J27" i="20"/>
  <c r="I27" i="20"/>
  <c r="H27" i="20"/>
  <c r="J54" i="21"/>
  <c r="J52" i="21"/>
  <c r="K52" i="21"/>
  <c r="I52" i="21"/>
  <c r="H52" i="21"/>
  <c r="K57" i="19"/>
  <c r="J57" i="19"/>
  <c r="H57" i="19"/>
</calcChain>
</file>

<file path=xl/sharedStrings.xml><?xml version="1.0" encoding="utf-8"?>
<sst xmlns="http://schemas.openxmlformats.org/spreadsheetml/2006/main" count="1081" uniqueCount="296">
  <si>
    <t>Rubriceringslijst M&amp;R</t>
  </si>
  <si>
    <t>Project naam :</t>
  </si>
  <si>
    <t>Proj. nr. :</t>
  </si>
  <si>
    <t>Opgesteld:</t>
  </si>
  <si>
    <t>Gezien     :</t>
  </si>
  <si>
    <t>Datum   :</t>
  </si>
  <si>
    <t xml:space="preserve"> </t>
  </si>
  <si>
    <t>Paraaf      :</t>
  </si>
  <si>
    <t>VAN:</t>
  </si>
  <si>
    <t>NAAR:</t>
  </si>
  <si>
    <t>KABEL</t>
  </si>
  <si>
    <t>BLAD</t>
  </si>
  <si>
    <t>KLEM.</t>
  </si>
  <si>
    <t>AANSLUIT</t>
  </si>
  <si>
    <t>aantal</t>
  </si>
  <si>
    <t>DOORSNEDE</t>
  </si>
  <si>
    <t>OMSCHRIJVING</t>
  </si>
  <si>
    <t>WSK</t>
  </si>
  <si>
    <t>INSTALL.</t>
  </si>
  <si>
    <t>Vermogen</t>
  </si>
  <si>
    <t>Spanning</t>
  </si>
  <si>
    <t>Stroom</t>
  </si>
  <si>
    <t>APPARATUUR FABR./TYPE:</t>
  </si>
  <si>
    <t>NR.</t>
  </si>
  <si>
    <t>STROOK</t>
  </si>
  <si>
    <t>TYPE</t>
  </si>
  <si>
    <t>ADERS</t>
  </si>
  <si>
    <t>mm2</t>
  </si>
  <si>
    <t>KLEM</t>
  </si>
  <si>
    <t>CODE</t>
  </si>
  <si>
    <t>P</t>
  </si>
  <si>
    <t>U</t>
  </si>
  <si>
    <t>I</t>
  </si>
  <si>
    <t>X3</t>
  </si>
  <si>
    <t>X1</t>
  </si>
  <si>
    <t>3P</t>
  </si>
  <si>
    <t>AO</t>
  </si>
  <si>
    <t>X4</t>
  </si>
  <si>
    <t>SIGNmb</t>
  </si>
  <si>
    <t>-</t>
  </si>
  <si>
    <t>SIGNas mb</t>
  </si>
  <si>
    <t>YMvK mb</t>
  </si>
  <si>
    <t>2 x 0,8</t>
  </si>
  <si>
    <t>1P</t>
  </si>
  <si>
    <t>L1,L2,L3,N,Pe</t>
  </si>
  <si>
    <t>X2</t>
  </si>
  <si>
    <t>VO-YMvKas mb</t>
  </si>
  <si>
    <t>3 x 0,8</t>
  </si>
  <si>
    <t>2P</t>
  </si>
  <si>
    <t>L1,L2,L3,Pe</t>
  </si>
  <si>
    <t>VS-YMvKafas mb</t>
  </si>
  <si>
    <t>4 x 0,8</t>
  </si>
  <si>
    <t>U,V,W</t>
  </si>
  <si>
    <t>VMvLo mb</t>
  </si>
  <si>
    <t>2 x 1,0</t>
  </si>
  <si>
    <t>4P</t>
  </si>
  <si>
    <t>L1,N</t>
  </si>
  <si>
    <t>X5</t>
  </si>
  <si>
    <t>VMvLoaf mb</t>
  </si>
  <si>
    <t>3 x 1,0</t>
  </si>
  <si>
    <t>6P</t>
  </si>
  <si>
    <t>Y,G,G0</t>
  </si>
  <si>
    <t>X6</t>
  </si>
  <si>
    <t>4 x 1,0</t>
  </si>
  <si>
    <t>B,M</t>
  </si>
  <si>
    <t>X7</t>
  </si>
  <si>
    <t>6 x 1,0</t>
  </si>
  <si>
    <t>X8</t>
  </si>
  <si>
    <t>8 x 1,0</t>
  </si>
  <si>
    <t>X9</t>
  </si>
  <si>
    <t>2 x 1,5</t>
  </si>
  <si>
    <t>X10</t>
  </si>
  <si>
    <t>3 x 1,5</t>
  </si>
  <si>
    <t>4 x 1,5</t>
  </si>
  <si>
    <t>5 x 1,5</t>
  </si>
  <si>
    <t>7 x 1,5</t>
  </si>
  <si>
    <t>3 x 2,5</t>
  </si>
  <si>
    <t>4 x 2,5</t>
  </si>
  <si>
    <t>5 x 2,5</t>
  </si>
  <si>
    <t>7 x 2,5</t>
  </si>
  <si>
    <t>3 x 4,0</t>
  </si>
  <si>
    <t>4 x 4,0</t>
  </si>
  <si>
    <t>5 x 4,0</t>
  </si>
  <si>
    <t>7 x 4,0</t>
  </si>
  <si>
    <t>SPIE-W</t>
  </si>
  <si>
    <t>Werkzaamheden</t>
  </si>
  <si>
    <t>SPIE-M&amp;R</t>
  </si>
  <si>
    <t>400V</t>
  </si>
  <si>
    <t>24Vac</t>
  </si>
  <si>
    <t>AI</t>
  </si>
  <si>
    <t>SPIE-E of onderaannemer</t>
  </si>
  <si>
    <t>Nieuw</t>
  </si>
  <si>
    <t>3G</t>
  </si>
  <si>
    <t>TT</t>
  </si>
  <si>
    <t>Fontys Hogescholen - locatie Venlo W1</t>
  </si>
  <si>
    <t>Regelkast: W1 RK1 RUIMTE 2.1TD</t>
  </si>
  <si>
    <t>T.30365806</t>
  </si>
  <si>
    <t>GuTa</t>
  </si>
  <si>
    <t>Luchtbehandeling LBK06 - Mediatheek</t>
  </si>
  <si>
    <t>13,14,15</t>
  </si>
  <si>
    <t>DO</t>
  </si>
  <si>
    <t>IO-overzicht</t>
  </si>
  <si>
    <t>DI</t>
  </si>
  <si>
    <t>Buitenluchtklep</t>
  </si>
  <si>
    <t>409FD1</t>
  </si>
  <si>
    <t>Siemens</t>
  </si>
  <si>
    <t>Verwijderen huidige bekabeling / leveren en 2-zijdig aansluiten nieuwe kabel</t>
  </si>
  <si>
    <t>Drukverschilschakelaar</t>
  </si>
  <si>
    <t>314PS3</t>
  </si>
  <si>
    <t>Montage door Flakt</t>
  </si>
  <si>
    <t>Leverancier LBK</t>
  </si>
  <si>
    <t>33,34,35</t>
  </si>
  <si>
    <t>207M1</t>
  </si>
  <si>
    <t>n.t.b. (nieuw)</t>
  </si>
  <si>
    <t>Demontage/montage luchtklepmotor</t>
  </si>
  <si>
    <t>Montage temperatuuropnemer</t>
  </si>
  <si>
    <t>207M2</t>
  </si>
  <si>
    <t>36,37,38</t>
  </si>
  <si>
    <t>Circulatiepomp verwarmer (voeding)</t>
  </si>
  <si>
    <t>L,N,Pe</t>
  </si>
  <si>
    <t>230V</t>
  </si>
  <si>
    <t>Handhaven</t>
  </si>
  <si>
    <t>7,8</t>
  </si>
  <si>
    <t>Huidige kabel blijft gehandhaafd</t>
  </si>
  <si>
    <t>Circulatiepomp verwarmer (vrijgave)</t>
  </si>
  <si>
    <t>Circulatiepomp verwarmer (storing)</t>
  </si>
  <si>
    <t>S/S,Com</t>
  </si>
  <si>
    <t>NC,C</t>
  </si>
  <si>
    <t>5,6</t>
  </si>
  <si>
    <t>SSM,SSM</t>
  </si>
  <si>
    <t>Veiligstellen</t>
  </si>
  <si>
    <t>Aanpassen regelkast</t>
  </si>
  <si>
    <t>idem</t>
  </si>
  <si>
    <t>21,22,23</t>
  </si>
  <si>
    <t>Regelafsluiter verwarmer</t>
  </si>
  <si>
    <t>G,G0,Y</t>
  </si>
  <si>
    <t>312CV1</t>
  </si>
  <si>
    <t>Vorstthermostaat</t>
  </si>
  <si>
    <t>314TS2</t>
  </si>
  <si>
    <t>??</t>
  </si>
  <si>
    <t>Levering en montage Flakt</t>
  </si>
  <si>
    <t>Demontage huidige vorstthermostaat</t>
  </si>
  <si>
    <t>Voeding tracing gkw leidingen koeler</t>
  </si>
  <si>
    <t>210XX1</t>
  </si>
  <si>
    <t>410TC1</t>
  </si>
  <si>
    <t>Buitentemperatuur tracing (Luchtklep LBK01 centr.)</t>
  </si>
  <si>
    <t>24,25,26</t>
  </si>
  <si>
    <t>Regelafsluiter koeler</t>
  </si>
  <si>
    <t>312CV2</t>
  </si>
  <si>
    <t>39 t/m 44</t>
  </si>
  <si>
    <t>27,28,29</t>
  </si>
  <si>
    <t>53 t/m 56</t>
  </si>
  <si>
    <t>Huidige kabel komt te vervallen</t>
  </si>
  <si>
    <t>Demontage pomp</t>
  </si>
  <si>
    <t>Grundfos</t>
  </si>
  <si>
    <t>n.t.b.</t>
  </si>
  <si>
    <t>207WW1</t>
  </si>
  <si>
    <t>Leveren en 2-zijdig aansluiten nieuwe kabel</t>
  </si>
  <si>
    <t>Aanpassen regelkast (voedingsgroep)</t>
  </si>
  <si>
    <t>NIEUW - Voeding Warmtewiel (regelaar)</t>
  </si>
  <si>
    <t>VERVALT - Circulatiepomp twincoil (voeding)</t>
  </si>
  <si>
    <t>VERVALT - Circulatiepomp twincoil (vrijgave)</t>
  </si>
  <si>
    <t>VERVALT - Circulatiepomp twincoil (storing)</t>
  </si>
  <si>
    <t>7,8 (hergebruiken)</t>
  </si>
  <si>
    <t>33,34,35 (hergebruiken)</t>
  </si>
  <si>
    <t>NIEUW - Warmtewiel (vrijgave)</t>
  </si>
  <si>
    <t>Hergebruiken vrijgave twincoilpomp</t>
  </si>
  <si>
    <t>NIEUW - Warmtewiel (storing)</t>
  </si>
  <si>
    <t>Hergebruiken storing twincoilpomp</t>
  </si>
  <si>
    <t>NIEUW - Temperatuuropnemer na WTW</t>
  </si>
  <si>
    <t>NIEUW - Warmtewiel (sturing 0-10V)</t>
  </si>
  <si>
    <t>Leveren en 2-zijdig aansluiten nieuwe kabel (afgeschermd)</t>
  </si>
  <si>
    <t>0,24kW</t>
  </si>
  <si>
    <t>1,9A</t>
  </si>
  <si>
    <t>VERVALT - Toevoerventilator (voeding)</t>
  </si>
  <si>
    <t>U1,V1,W1,W2,U2,V2</t>
  </si>
  <si>
    <t>208M1</t>
  </si>
  <si>
    <t>Demontage ventilator</t>
  </si>
  <si>
    <t>Loskoppelen en verwijderen huidige bekabeling</t>
  </si>
  <si>
    <t>39,40,41,42 (hergebr.)</t>
  </si>
  <si>
    <t>5G</t>
  </si>
  <si>
    <t>45 t/m 50</t>
  </si>
  <si>
    <t>VERVALT - Afvoerventilator (voeding)</t>
  </si>
  <si>
    <t>208M2</t>
  </si>
  <si>
    <t>Vervalt</t>
  </si>
  <si>
    <t>10,0</t>
  </si>
  <si>
    <t>208XX1</t>
  </si>
  <si>
    <t>4x 6,3A</t>
  </si>
  <si>
    <t>4x 4,15kW</t>
  </si>
  <si>
    <t>EC ventilatoren</t>
  </si>
  <si>
    <t>NIEUW - koppelkast t.b.v. toevoer- en afvoervent.</t>
  </si>
  <si>
    <t>Leveren en 2-zijdig aansluiten nieuwe voedingskabel</t>
  </si>
  <si>
    <t>NIEUW - vrijgave/storing toevoervent. (koppelkast)</t>
  </si>
  <si>
    <t>NIEUW - Sturing 0-10V toevoervent. (koppelkast)</t>
  </si>
  <si>
    <t>X3.1 - 3,4,8,9</t>
  </si>
  <si>
    <t>X3.1 - 1,5,6,10</t>
  </si>
  <si>
    <t>NIEUW - vrijgave/storing afvoervent. (koppelkast)</t>
  </si>
  <si>
    <t>NIEUW - Sturing 0-10V afvoervent. (koppelkast)</t>
  </si>
  <si>
    <t>X3.2 - 3,4,8,9</t>
  </si>
  <si>
    <t>X3.2 - 1,5,6,10</t>
  </si>
  <si>
    <t>Inblaastemperatuuropnemer</t>
  </si>
  <si>
    <t>315TT8</t>
  </si>
  <si>
    <t>Siemens (huidige handhaven)</t>
  </si>
  <si>
    <t>Drukopnemer toevoerkanaal</t>
  </si>
  <si>
    <t>PT</t>
  </si>
  <si>
    <t>Montage drukopnemer</t>
  </si>
  <si>
    <t>QT</t>
  </si>
  <si>
    <t>Montage Luchtkwaliteitopnemer</t>
  </si>
  <si>
    <t>Luchtkwaliteitsopnemer toevoerkanaal</t>
  </si>
  <si>
    <t>Afzuigluchttemperatuuropnemer</t>
  </si>
  <si>
    <t>316TT1</t>
  </si>
  <si>
    <t>Drukopnemer afzuigkanaal</t>
  </si>
  <si>
    <t>Luchtkwaliteitsopnemer afzuigkanaal</t>
  </si>
  <si>
    <t>Drukverschilschakelaar filter afzuiglucht</t>
  </si>
  <si>
    <t>314PS4</t>
  </si>
  <si>
    <t>Demontage huidige drukverschilschakelaar</t>
  </si>
  <si>
    <t>57,58,59</t>
  </si>
  <si>
    <t>Afblaasluchtklep</t>
  </si>
  <si>
    <t>6,7,1 (KK1: X-16,17,18)</t>
  </si>
  <si>
    <t>1,2 (KK1: X-5,6)</t>
  </si>
  <si>
    <t>B,M (KK1: X-11,12)</t>
  </si>
  <si>
    <t>B,M (KK1: X-9,10)</t>
  </si>
  <si>
    <t>409FD2</t>
  </si>
  <si>
    <t>6,7,1 (KK1: X-13,14,15)</t>
  </si>
  <si>
    <t>1,2 (KK1: X-3,4)</t>
  </si>
  <si>
    <t>Totoaal IO's:</t>
  </si>
  <si>
    <t>1,2 (KK1: X7,8)</t>
  </si>
  <si>
    <t>Regelkast: W1 - RK3 RUIMTE 4.0TD1</t>
  </si>
  <si>
    <t>Collegezaal 1.02</t>
  </si>
  <si>
    <t>Collegezaal 1.01</t>
  </si>
  <si>
    <t>Bewegingsmelder</t>
  </si>
  <si>
    <t>408S1</t>
  </si>
  <si>
    <t>47,48,49</t>
  </si>
  <si>
    <t>Huidige kabel hergebruiken (indien mogelijk)</t>
  </si>
  <si>
    <t>Montage bewegingsmelder en aansluiten bestaande bekabeling</t>
  </si>
  <si>
    <t>Demontage werkzaamheden</t>
  </si>
  <si>
    <t>VERVALT - Ruimtetemperatuuropnemer</t>
  </si>
  <si>
    <t>335TT4</t>
  </si>
  <si>
    <t>Siemens QAA24</t>
  </si>
  <si>
    <t>Verwijderen opnemer en bekabeling</t>
  </si>
  <si>
    <t>NIEUW - TT/CO2 opnemer</t>
  </si>
  <si>
    <t>TT/QT</t>
  </si>
  <si>
    <t>Montage opnemer / leggen en tweezijdig aansluiten nieuwe kabel</t>
  </si>
  <si>
    <t>onderaannemer E</t>
  </si>
  <si>
    <t>Montage werkzaamheden</t>
  </si>
  <si>
    <t>4G</t>
  </si>
  <si>
    <t>NIEUW - TT/CO2 opnemer afzuigkanaal</t>
  </si>
  <si>
    <t>29,30,31</t>
  </si>
  <si>
    <t>406S1</t>
  </si>
  <si>
    <t>Verwijderen overwerktimer</t>
  </si>
  <si>
    <t>335TT2</t>
  </si>
  <si>
    <t>Collegezaal 1.03</t>
  </si>
  <si>
    <t>409S1</t>
  </si>
  <si>
    <t>56,57,58</t>
  </si>
  <si>
    <t>335TT5</t>
  </si>
  <si>
    <t>Collegezaal 3.01</t>
  </si>
  <si>
    <t>335TT3</t>
  </si>
  <si>
    <t>407S1</t>
  </si>
  <si>
    <t>38,39,40</t>
  </si>
  <si>
    <t>Collegezaal 3.02</t>
  </si>
  <si>
    <t>410S1</t>
  </si>
  <si>
    <t>65,66,67</t>
  </si>
  <si>
    <t>335TT6</t>
  </si>
  <si>
    <t>Bestaand:</t>
  </si>
  <si>
    <t>Nieuw:</t>
  </si>
  <si>
    <t>Collegezaal 3.03</t>
  </si>
  <si>
    <t>411S1</t>
  </si>
  <si>
    <t>74,75,76</t>
  </si>
  <si>
    <t>335TT7</t>
  </si>
  <si>
    <t>Regelkast:</t>
  </si>
  <si>
    <t>RK3 - RUIMTE 4.0TD1</t>
  </si>
  <si>
    <t>Concept</t>
  </si>
  <si>
    <t>Luchtbehandelingskast LBK04</t>
  </si>
  <si>
    <t>CONCEPT</t>
  </si>
  <si>
    <t>19,20,21</t>
  </si>
  <si>
    <t>206U1/M1</t>
  </si>
  <si>
    <t>11kW</t>
  </si>
  <si>
    <t>21,4A</t>
  </si>
  <si>
    <t>Loshalen en verwijderen huidige bekabeling / demontage frequentieregelaar</t>
  </si>
  <si>
    <t>VERVALT - Voeding toevoerventilator (freq.regelaar)</t>
  </si>
  <si>
    <t>206M1</t>
  </si>
  <si>
    <t>Rechtstreeks vanaf de freq.regelaar</t>
  </si>
  <si>
    <t>EMC</t>
  </si>
  <si>
    <t>VERVALT - EMC kabel toevoerventilator</t>
  </si>
  <si>
    <t>Loshalen en verwijderen EMC kabel</t>
  </si>
  <si>
    <t>U,V,W,Pe,13,27</t>
  </si>
  <si>
    <t>1,2</t>
  </si>
  <si>
    <t>3,4</t>
  </si>
  <si>
    <t>Montage EC ventilator+werkschak.</t>
  </si>
  <si>
    <t>EC-toevoerventilator voeding</t>
  </si>
  <si>
    <t>EC-toevoerventilator sturing 0-10V (hergebruiken)</t>
  </si>
  <si>
    <t>EC-toevoerventilator vrijgave (hergebruiken)</t>
  </si>
  <si>
    <t>EC-toevoerventilator storing (hergebruiken)</t>
  </si>
  <si>
    <t>RK4 - RUIMTE 4.0TD2</t>
  </si>
  <si>
    <t>Regelkast: W1 - RK4 RUIMTE 4.0TD2</t>
  </si>
  <si>
    <t>RK1 - RUIMTE 2.1TD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</si>
</sst>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"/>
    <numFmt numFmtId="165" formatCode="General_)"/>
    <numFmt numFmtId="166" formatCode="0.0"/>
    <numFmt numFmtId="167" formatCode="[$-F400]h:mm:ss\ AM/PM"/>
  </numFmts>
  <fonts count="18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Courier"/>
      <family val="3"/>
    </font>
    <font>
      <sz val="8"/>
      <color indexed="8"/>
      <name val="Arial"/>
      <family val="2"/>
    </font>
    <font>
      <b/>
      <u/>
      <sz val="22"/>
      <name val="Arial"/>
      <family val="2"/>
    </font>
    <font>
      <sz val="8"/>
      <color theme="1"/>
      <name val="Arial"/>
      <family val="2"/>
    </font>
    <font>
      <b/>
      <i/>
      <u/>
      <sz val="10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rgb="FF00B050"/>
      <name val="Arial"/>
      <family val="2"/>
    </font>
    <font>
      <b/>
      <sz val="8"/>
      <color theme="1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5" fontId="8" fillId="0" borderId="0"/>
  </cellStyleXfs>
  <cellXfs count="14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7" fillId="0" borderId="0" xfId="0" applyFont="1" applyAlignment="1">
      <alignment horizontal="center"/>
    </xf>
    <xf numFmtId="1" fontId="1" fillId="0" borderId="0" xfId="1" applyNumberFormat="1" applyFont="1" applyAlignment="1">
      <alignment horizontal="left"/>
    </xf>
    <xf numFmtId="164" fontId="1" fillId="0" borderId="0" xfId="0" applyNumberFormat="1" applyFont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0" fillId="4" borderId="7" xfId="0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0" fillId="5" borderId="19" xfId="0" applyFill="1" applyBorder="1"/>
    <xf numFmtId="49" fontId="1" fillId="0" borderId="13" xfId="0" applyNumberFormat="1" applyFont="1" applyBorder="1" applyAlignment="1">
      <alignment horizontal="left" vertical="center"/>
    </xf>
    <xf numFmtId="0" fontId="1" fillId="0" borderId="13" xfId="0" quotePrefix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1" fillId="0" borderId="13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" fillId="0" borderId="13" xfId="0" quotePrefix="1" applyFont="1" applyBorder="1" applyAlignment="1">
      <alignment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166" fontId="1" fillId="0" borderId="13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left" vertical="center"/>
    </xf>
    <xf numFmtId="2" fontId="1" fillId="0" borderId="13" xfId="0" quotePrefix="1" applyNumberFormat="1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quotePrefix="1" applyFont="1" applyBorder="1" applyAlignment="1">
      <alignment vertical="center"/>
    </xf>
    <xf numFmtId="49" fontId="1" fillId="0" borderId="3" xfId="0" applyNumberFormat="1" applyFont="1" applyBorder="1" applyAlignment="1">
      <alignment horizontal="left" vertical="center"/>
    </xf>
    <xf numFmtId="0" fontId="1" fillId="0" borderId="3" xfId="0" quotePrefix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" fontId="1" fillId="0" borderId="28" xfId="0" quotePrefix="1" applyNumberFormat="1" applyFont="1" applyBorder="1" applyAlignment="1">
      <alignment horizontal="left" vertical="center"/>
    </xf>
    <xf numFmtId="49" fontId="1" fillId="0" borderId="28" xfId="0" applyNumberFormat="1" applyFont="1" applyBorder="1" applyAlignment="1">
      <alignment horizontal="left" vertical="center"/>
    </xf>
    <xf numFmtId="0" fontId="11" fillId="0" borderId="28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1" fillId="7" borderId="17" xfId="0" applyFont="1" applyFill="1" applyBorder="1" applyAlignment="1">
      <alignment horizontal="center" vertical="center"/>
    </xf>
    <xf numFmtId="166" fontId="1" fillId="0" borderId="28" xfId="0" applyNumberFormat="1" applyFont="1" applyBorder="1" applyAlignment="1">
      <alignment horizontal="center" vertical="center"/>
    </xf>
    <xf numFmtId="0" fontId="2" fillId="8" borderId="28" xfId="0" applyFont="1" applyFill="1" applyBorder="1" applyAlignment="1">
      <alignment horizontal="left" vertical="center"/>
    </xf>
    <xf numFmtId="0" fontId="1" fillId="0" borderId="28" xfId="0" quotePrefix="1" applyFont="1" applyBorder="1" applyAlignment="1">
      <alignment vertical="center"/>
    </xf>
    <xf numFmtId="0" fontId="11" fillId="0" borderId="13" xfId="0" quotePrefix="1" applyFont="1" applyBorder="1" applyAlignment="1">
      <alignment vertical="center"/>
    </xf>
    <xf numFmtId="0" fontId="1" fillId="0" borderId="13" xfId="0" applyFont="1" applyBorder="1" applyAlignment="1">
      <alignment vertical="center" wrapText="1"/>
    </xf>
    <xf numFmtId="0" fontId="9" fillId="0" borderId="13" xfId="0" quotePrefix="1" applyFont="1" applyBorder="1" applyAlignment="1">
      <alignment vertical="center"/>
    </xf>
    <xf numFmtId="0" fontId="1" fillId="7" borderId="13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2" fontId="14" fillId="0" borderId="13" xfId="0" applyNumberFormat="1" applyFont="1" applyBorder="1" applyAlignment="1">
      <alignment horizontal="left" vertical="center"/>
    </xf>
    <xf numFmtId="49" fontId="14" fillId="0" borderId="13" xfId="0" applyNumberFormat="1" applyFont="1" applyBorder="1" applyAlignment="1">
      <alignment horizontal="left" vertical="center"/>
    </xf>
    <xf numFmtId="0" fontId="14" fillId="0" borderId="13" xfId="0" applyFont="1" applyBorder="1" applyAlignment="1">
      <alignment vertical="center"/>
    </xf>
    <xf numFmtId="2" fontId="14" fillId="0" borderId="13" xfId="0" quotePrefix="1" applyNumberFormat="1" applyFont="1" applyBorder="1" applyAlignment="1">
      <alignment horizontal="left" vertical="center"/>
    </xf>
    <xf numFmtId="166" fontId="14" fillId="0" borderId="13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2" fontId="15" fillId="0" borderId="13" xfId="0" quotePrefix="1" applyNumberFormat="1" applyFont="1" applyBorder="1" applyAlignment="1">
      <alignment horizontal="left" vertical="center"/>
    </xf>
    <xf numFmtId="49" fontId="15" fillId="0" borderId="13" xfId="0" applyNumberFormat="1" applyFont="1" applyBorder="1" applyAlignment="1">
      <alignment horizontal="left" vertical="center"/>
    </xf>
    <xf numFmtId="166" fontId="15" fillId="0" borderId="13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2" fontId="15" fillId="0" borderId="13" xfId="0" applyNumberFormat="1" applyFont="1" applyBorder="1" applyAlignment="1">
      <alignment horizontal="left" vertical="center"/>
    </xf>
    <xf numFmtId="0" fontId="14" fillId="0" borderId="13" xfId="0" quotePrefix="1" applyFont="1" applyBorder="1" applyAlignment="1">
      <alignment horizontal="center" vertical="center"/>
    </xf>
    <xf numFmtId="0" fontId="15" fillId="0" borderId="13" xfId="0" quotePrefix="1" applyFont="1" applyBorder="1" applyAlignment="1">
      <alignment horizontal="center" vertical="center"/>
    </xf>
    <xf numFmtId="166" fontId="1" fillId="0" borderId="13" xfId="0" quotePrefix="1" applyNumberFormat="1" applyFont="1" applyBorder="1" applyAlignment="1">
      <alignment horizontal="center" vertical="center"/>
    </xf>
    <xf numFmtId="166" fontId="15" fillId="0" borderId="13" xfId="0" quotePrefix="1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left" vertical="center"/>
    </xf>
    <xf numFmtId="166" fontId="1" fillId="0" borderId="3" xfId="0" quotePrefix="1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2" fontId="1" fillId="0" borderId="29" xfId="0" applyNumberFormat="1" applyFont="1" applyBorder="1" applyAlignment="1">
      <alignment horizontal="left" vertical="center"/>
    </xf>
    <xf numFmtId="49" fontId="1" fillId="0" borderId="29" xfId="0" applyNumberFormat="1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quotePrefix="1" applyFont="1" applyAlignment="1">
      <alignment vertical="center"/>
    </xf>
    <xf numFmtId="166" fontId="1" fillId="9" borderId="29" xfId="0" quotePrefix="1" applyNumberFormat="1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166" fontId="11" fillId="0" borderId="13" xfId="0" applyNumberFormat="1" applyFont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166" fontId="1" fillId="9" borderId="29" xfId="0" quotePrefix="1" applyNumberFormat="1" applyFont="1" applyFill="1" applyBorder="1" applyAlignment="1">
      <alignment horizontal="right" vertical="center"/>
    </xf>
    <xf numFmtId="166" fontId="1" fillId="7" borderId="0" xfId="0" applyNumberFormat="1" applyFont="1" applyFill="1" applyAlignment="1">
      <alignment horizontal="right" vertical="center"/>
    </xf>
    <xf numFmtId="0" fontId="1" fillId="7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right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0" borderId="24" xfId="0" quotePrefix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4" fillId="0" borderId="13" xfId="0" applyFont="1" applyBorder="1" applyAlignment="1">
      <alignment vertical="center" wrapText="1"/>
    </xf>
    <xf numFmtId="0" fontId="17" fillId="0" borderId="0" xfId="0" applyFont="1"/>
    <xf numFmtId="0" fontId="14" fillId="0" borderId="13" xfId="0" applyFont="1" applyBorder="1" applyAlignment="1">
      <alignment horizontal="left" vertical="center"/>
    </xf>
    <xf numFmtId="0" fontId="2" fillId="4" borderId="22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2" fillId="5" borderId="2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7" fontId="3" fillId="5" borderId="22" xfId="0" applyNumberFormat="1" applyFont="1" applyFill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7" fontId="3" fillId="0" borderId="23" xfId="0" applyNumberFormat="1" applyFont="1" applyBorder="1" applyAlignment="1">
      <alignment horizontal="center" vertical="center"/>
    </xf>
  </cellXfs>
  <cellStyles count="2">
    <cellStyle name="Normal" xfId="0" builtinId="0"/>
    <cellStyle name="Standaard_RK2.WR1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1237</xdr:colOff>
      <xdr:row>0</xdr:row>
      <xdr:rowOff>35873</xdr:rowOff>
    </xdr:from>
    <xdr:ext cx="1179432" cy="630877"/>
    <xdr:pic>
      <xdr:nvPicPr>
        <xdr:cNvPr id="6" name="Afbeelding 5">
          <a:extLst>
            <a:ext uri="{FF2B5EF4-FFF2-40B4-BE49-F238E27FC236}">
              <a16:creationId xmlns:a16="http://schemas.microsoft.com/office/drawing/2014/main" id="{20EDBC11-A02D-4581-A831-C9993BFDF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6675" y="35873"/>
          <a:ext cx="1179432" cy="630877"/>
        </a:xfrm>
        <a:prstGeom prst="rect">
          <a:avLst/>
        </a:prstGeom>
      </xdr:spPr>
    </xdr:pic>
    <xdr:clientData/>
  </xdr:oneCellAnchor>
  <xdr:oneCellAnchor>
    <xdr:from>
      <xdr:col>20</xdr:col>
      <xdr:colOff>1237</xdr:colOff>
      <xdr:row>6</xdr:row>
      <xdr:rowOff>35873</xdr:rowOff>
    </xdr:from>
    <xdr:ext cx="1179432" cy="630877"/>
    <xdr:pic>
      <xdr:nvPicPr>
        <xdr:cNvPr id="2" name="Afbeelding 1">
          <a:extLst>
            <a:ext uri="{FF2B5EF4-FFF2-40B4-BE49-F238E27FC236}">
              <a16:creationId xmlns:a16="http://schemas.microsoft.com/office/drawing/2014/main" id="{C1358C0C-71F7-4A9F-B3E9-39258C00B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9912" y="35873"/>
          <a:ext cx="1179432" cy="6308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1237</xdr:colOff>
      <xdr:row>0</xdr:row>
      <xdr:rowOff>35873</xdr:rowOff>
    </xdr:from>
    <xdr:ext cx="1179432" cy="630877"/>
    <xdr:pic>
      <xdr:nvPicPr>
        <xdr:cNvPr id="2" name="Afbeelding 1">
          <a:extLst>
            <a:ext uri="{FF2B5EF4-FFF2-40B4-BE49-F238E27FC236}">
              <a16:creationId xmlns:a16="http://schemas.microsoft.com/office/drawing/2014/main" id="{4E3ABA02-8445-4377-A9AA-61D239E77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65337" y="35873"/>
          <a:ext cx="1179432" cy="63087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1237</xdr:colOff>
      <xdr:row>0</xdr:row>
      <xdr:rowOff>35873</xdr:rowOff>
    </xdr:from>
    <xdr:ext cx="1179432" cy="630877"/>
    <xdr:pic>
      <xdr:nvPicPr>
        <xdr:cNvPr id="2" name="Afbeelding 1">
          <a:extLst>
            <a:ext uri="{FF2B5EF4-FFF2-40B4-BE49-F238E27FC236}">
              <a16:creationId xmlns:a16="http://schemas.microsoft.com/office/drawing/2014/main" id="{D2CA513E-66AA-4467-9583-DF744071B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9912" y="35873"/>
          <a:ext cx="1179432" cy="6308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343"/>
  <sheetViews>
    <sheetView tabSelected="1" topLeftCell="A7" zoomScale="75" zoomScaleNormal="140" workbookViewId="0">
      <pane ySplit="11" topLeftCell="A18" activePane="bottomLeft" state="frozen"/>
      <selection activeCell="A7" sqref="A7"/>
      <selection pane="bottomLeft" activeCell="C10" sqref="C10:F10"/>
    </sheetView>
  </sheetViews>
  <sheetFormatPr defaultRowHeight="12.75" x14ac:dyDescent="0.2"/>
  <cols>
    <col min="1" max="1" width="5.7109375" customWidth="1"/>
    <col min="2" max="2" width="6.5703125" style="2" customWidth="1"/>
    <col min="3" max="3" width="7.28515625" style="2" bestFit="1" customWidth="1"/>
    <col min="4" max="4" width="18.28515625" customWidth="1"/>
    <col min="5" max="5" width="12.85546875" style="2" customWidth="1"/>
    <col min="6" max="6" width="10.7109375" style="2" bestFit="1" customWidth="1"/>
    <col min="7" max="7" width="10.7109375" style="2" customWidth="1"/>
    <col min="8" max="11" width="5.7109375" style="2" customWidth="1"/>
    <col min="12" max="12" width="36.28515625" customWidth="1"/>
    <col min="13" max="13" width="17.28515625" customWidth="1"/>
    <col min="14" max="14" width="4.7109375" style="2" customWidth="1"/>
    <col min="15" max="15" width="10.28515625" style="2" bestFit="1" customWidth="1"/>
    <col min="16" max="18" width="7.85546875" style="2" customWidth="1"/>
    <col min="19" max="19" width="22.42578125" customWidth="1"/>
    <col min="20" max="20" width="20.140625" customWidth="1"/>
    <col min="21" max="21" width="30" customWidth="1"/>
    <col min="22" max="22" width="51.5703125" customWidth="1"/>
    <col min="23" max="23" width="26.140625" customWidth="1"/>
    <col min="27" max="27" width="11.140625" customWidth="1"/>
  </cols>
  <sheetData>
    <row r="1" spans="1:24" ht="13.15" customHeight="1" x14ac:dyDescent="0.2">
      <c r="L1" s="136" t="s">
        <v>0</v>
      </c>
      <c r="M1" s="137"/>
    </row>
    <row r="2" spans="1:24" ht="13.15" customHeight="1" x14ac:dyDescent="0.2">
      <c r="L2" s="136"/>
      <c r="M2" s="137"/>
    </row>
    <row r="3" spans="1:24" ht="13.15" customHeight="1" x14ac:dyDescent="0.2">
      <c r="A3" s="13"/>
      <c r="B3" s="14"/>
      <c r="C3" s="14"/>
      <c r="D3" s="13"/>
      <c r="E3" s="14"/>
      <c r="F3" s="14"/>
      <c r="G3" s="14"/>
      <c r="H3" s="14"/>
      <c r="I3" s="14"/>
      <c r="J3" s="14"/>
      <c r="K3" s="14"/>
      <c r="L3" s="136"/>
      <c r="M3" s="137"/>
      <c r="N3" s="15"/>
      <c r="O3" s="14"/>
      <c r="P3" s="14"/>
      <c r="Q3" s="14"/>
      <c r="R3" s="14"/>
      <c r="S3" s="14"/>
      <c r="T3" s="14"/>
      <c r="U3" s="14"/>
      <c r="V3" s="14"/>
      <c r="W3" s="14"/>
    </row>
    <row r="4" spans="1:24" ht="11.45" customHeight="1" x14ac:dyDescent="0.2">
      <c r="A4" s="16" t="s">
        <v>1</v>
      </c>
      <c r="B4" s="15"/>
      <c r="C4" s="134" t="s">
        <v>94</v>
      </c>
      <c r="D4" s="135"/>
      <c r="E4" s="135"/>
      <c r="F4" s="135"/>
      <c r="G4" s="15"/>
      <c r="H4" s="15"/>
      <c r="I4" s="15"/>
      <c r="J4" s="15"/>
      <c r="K4" s="15"/>
      <c r="L4" s="17" t="s">
        <v>2</v>
      </c>
      <c r="M4" s="20" t="s">
        <v>96</v>
      </c>
      <c r="N4" s="15"/>
      <c r="O4" s="17" t="s">
        <v>3</v>
      </c>
      <c r="P4" s="17" t="s">
        <v>97</v>
      </c>
      <c r="Q4" s="17"/>
      <c r="R4" s="17"/>
      <c r="S4" s="13"/>
      <c r="T4" s="13"/>
      <c r="U4" s="13"/>
      <c r="V4" s="13"/>
      <c r="W4" s="13"/>
    </row>
    <row r="5" spans="1:24" ht="11.45" customHeight="1" x14ac:dyDescent="0.2">
      <c r="A5" s="13"/>
      <c r="B5" s="14"/>
      <c r="C5" s="16"/>
      <c r="D5" s="13"/>
      <c r="E5" s="14"/>
      <c r="F5" s="14"/>
      <c r="G5" s="14"/>
      <c r="H5" s="14"/>
      <c r="I5" s="14"/>
      <c r="J5" s="14"/>
      <c r="K5" s="14"/>
      <c r="L5" s="17"/>
      <c r="M5" s="16"/>
      <c r="N5" s="15"/>
      <c r="O5" s="17" t="s">
        <v>4</v>
      </c>
      <c r="P5" s="17"/>
      <c r="Q5" s="17"/>
      <c r="R5" s="17"/>
      <c r="S5" s="13"/>
      <c r="T5" s="13"/>
      <c r="U5" s="13"/>
      <c r="V5" s="13"/>
      <c r="W5" s="13"/>
    </row>
    <row r="6" spans="1:24" ht="11.45" customHeight="1" x14ac:dyDescent="0.2">
      <c r="A6" s="16"/>
      <c r="B6" s="14"/>
      <c r="C6" s="30"/>
      <c r="D6" s="13"/>
      <c r="E6" s="55"/>
      <c r="F6" s="14"/>
      <c r="G6" s="14"/>
      <c r="H6" s="14"/>
      <c r="I6" s="14"/>
      <c r="J6" s="14"/>
      <c r="K6" s="14"/>
      <c r="L6" s="17" t="s">
        <v>5</v>
      </c>
      <c r="M6" s="21">
        <v>46178</v>
      </c>
      <c r="N6" s="14" t="s">
        <v>6</v>
      </c>
      <c r="O6" s="17" t="s">
        <v>7</v>
      </c>
      <c r="P6" s="17"/>
      <c r="Q6" s="17"/>
      <c r="R6" s="17"/>
      <c r="S6" s="13"/>
      <c r="T6" s="13"/>
      <c r="U6" s="13"/>
      <c r="V6" s="13"/>
      <c r="W6" s="13"/>
    </row>
    <row r="7" spans="1:24" ht="13.15" customHeight="1" x14ac:dyDescent="0.2">
      <c r="L7" s="136" t="s">
        <v>0</v>
      </c>
      <c r="M7" s="137"/>
    </row>
    <row r="8" spans="1:24" ht="13.15" customHeight="1" x14ac:dyDescent="0.2">
      <c r="L8" s="136"/>
      <c r="M8" s="137"/>
    </row>
    <row r="9" spans="1:24" ht="13.15" customHeight="1" x14ac:dyDescent="0.2">
      <c r="A9" s="13"/>
      <c r="B9" s="14"/>
      <c r="C9" s="14"/>
      <c r="D9" s="13"/>
      <c r="E9" s="14"/>
      <c r="F9" s="14"/>
      <c r="G9" s="14"/>
      <c r="H9" s="14"/>
      <c r="I9" s="14"/>
      <c r="J9" s="14"/>
      <c r="K9" s="14"/>
      <c r="L9" s="136"/>
      <c r="M9" s="137"/>
      <c r="N9" s="15"/>
      <c r="O9" s="14"/>
      <c r="P9" s="14"/>
      <c r="Q9" s="14"/>
      <c r="R9" s="14"/>
      <c r="S9" s="14"/>
      <c r="T9" s="14"/>
      <c r="U9" s="14"/>
      <c r="V9" s="14"/>
    </row>
    <row r="10" spans="1:24" ht="11.45" customHeight="1" x14ac:dyDescent="0.2">
      <c r="A10" s="16" t="s">
        <v>1</v>
      </c>
      <c r="B10" s="15"/>
      <c r="C10" s="134" t="s">
        <v>94</v>
      </c>
      <c r="D10" s="135"/>
      <c r="E10" s="135"/>
      <c r="F10" s="135"/>
      <c r="G10" s="15"/>
      <c r="H10" s="15"/>
      <c r="I10" s="15"/>
      <c r="J10" s="15"/>
      <c r="K10" s="15"/>
      <c r="L10" s="17" t="s">
        <v>2</v>
      </c>
      <c r="M10" s="20" t="s">
        <v>96</v>
      </c>
      <c r="N10" s="15"/>
      <c r="O10" s="17" t="s">
        <v>3</v>
      </c>
      <c r="P10" s="17" t="s">
        <v>97</v>
      </c>
      <c r="Q10" s="17"/>
      <c r="R10" s="17"/>
      <c r="S10" s="13"/>
      <c r="T10" s="13"/>
      <c r="U10" s="13"/>
      <c r="V10" s="13"/>
    </row>
    <row r="11" spans="1:24" ht="11.45" customHeight="1" x14ac:dyDescent="0.2">
      <c r="A11" s="13"/>
      <c r="B11" s="14"/>
      <c r="C11" s="16"/>
      <c r="D11" s="13"/>
      <c r="E11" s="14"/>
      <c r="F11" s="14"/>
      <c r="G11" s="14"/>
      <c r="H11" s="14"/>
      <c r="I11" s="14"/>
      <c r="J11" s="14"/>
      <c r="K11" s="14"/>
      <c r="L11" s="17"/>
      <c r="M11" s="16"/>
      <c r="N11" s="15"/>
      <c r="O11" s="17" t="s">
        <v>4</v>
      </c>
      <c r="P11" s="17"/>
      <c r="Q11" s="17"/>
      <c r="R11" s="17"/>
      <c r="S11" s="13"/>
      <c r="T11" s="13"/>
      <c r="U11" s="13"/>
      <c r="V11" s="13"/>
    </row>
    <row r="12" spans="1:24" ht="11.45" customHeight="1" x14ac:dyDescent="0.2">
      <c r="A12" s="16" t="s">
        <v>269</v>
      </c>
      <c r="B12" s="14"/>
      <c r="C12" s="30" t="s">
        <v>295</v>
      </c>
      <c r="D12" s="13"/>
      <c r="E12" s="55"/>
      <c r="F12" s="14"/>
      <c r="G12" s="14"/>
      <c r="H12" s="14"/>
      <c r="I12" s="14"/>
      <c r="J12" s="14"/>
      <c r="K12" s="14"/>
      <c r="L12" s="17" t="s">
        <v>5</v>
      </c>
      <c r="M12" s="21">
        <v>46180</v>
      </c>
      <c r="N12" s="14" t="s">
        <v>6</v>
      </c>
      <c r="O12" s="17" t="s">
        <v>7</v>
      </c>
      <c r="P12" s="17"/>
      <c r="Q12" s="17"/>
      <c r="R12" s="17"/>
      <c r="S12" s="13"/>
      <c r="T12" s="13"/>
      <c r="U12" s="13"/>
      <c r="V12" s="13"/>
    </row>
    <row r="13" spans="1:24" ht="11.45" customHeight="1" x14ac:dyDescent="0.2">
      <c r="A13" s="16"/>
      <c r="B13" s="14"/>
      <c r="C13" s="30"/>
      <c r="D13" s="13"/>
      <c r="E13" s="55"/>
      <c r="F13" s="14"/>
      <c r="G13" s="14"/>
      <c r="H13" s="14"/>
      <c r="I13" s="14"/>
      <c r="J13" s="14"/>
      <c r="K13" s="14"/>
      <c r="L13" s="127" t="s">
        <v>273</v>
      </c>
      <c r="M13" s="21"/>
      <c r="N13" s="14"/>
      <c r="O13" s="17"/>
      <c r="P13" s="17"/>
      <c r="Q13" s="17"/>
      <c r="R13" s="17"/>
      <c r="S13" s="13"/>
      <c r="T13" s="13"/>
      <c r="U13" s="13"/>
      <c r="V13" s="13"/>
    </row>
    <row r="14" spans="1:24" ht="11.45" customHeight="1" thickBot="1" x14ac:dyDescent="0.25">
      <c r="A14" s="16"/>
      <c r="B14" s="14"/>
      <c r="C14" s="30"/>
      <c r="D14" s="13"/>
      <c r="E14" s="55"/>
      <c r="F14" s="14"/>
      <c r="G14" s="14"/>
      <c r="H14" s="14"/>
      <c r="I14" s="14"/>
      <c r="J14" s="14"/>
      <c r="K14" s="14"/>
      <c r="L14" s="54"/>
      <c r="M14" s="21"/>
      <c r="N14" s="14"/>
      <c r="O14" s="17"/>
      <c r="P14" s="17"/>
      <c r="Q14" s="17"/>
      <c r="R14" s="17"/>
      <c r="S14" s="13"/>
      <c r="T14" s="13"/>
      <c r="U14" s="13"/>
      <c r="V14" s="13"/>
    </row>
    <row r="15" spans="1:24" ht="11.45" customHeight="1" x14ac:dyDescent="0.2">
      <c r="C15" s="27"/>
      <c r="D15" s="140" t="s">
        <v>8</v>
      </c>
      <c r="E15" s="141"/>
      <c r="F15" s="141"/>
      <c r="G15" s="141"/>
      <c r="H15" s="141"/>
      <c r="I15" s="142"/>
      <c r="J15" s="143" t="s">
        <v>101</v>
      </c>
      <c r="K15" s="144"/>
      <c r="L15" s="144"/>
      <c r="M15" s="145"/>
      <c r="N15" s="132" t="s">
        <v>9</v>
      </c>
      <c r="O15" s="133"/>
      <c r="P15" s="133"/>
      <c r="Q15" s="133"/>
      <c r="R15" s="23"/>
      <c r="S15" s="23"/>
      <c r="T15" s="23"/>
      <c r="U15" s="22" t="s">
        <v>6</v>
      </c>
      <c r="V15" s="22" t="s">
        <v>6</v>
      </c>
      <c r="W15" s="22" t="s">
        <v>6</v>
      </c>
      <c r="X15" s="1"/>
    </row>
    <row r="16" spans="1:24" s="1" customFormat="1" ht="11.45" customHeight="1" thickBot="1" x14ac:dyDescent="0.25">
      <c r="A16" s="31" t="s">
        <v>10</v>
      </c>
      <c r="B16" s="32" t="s">
        <v>11</v>
      </c>
      <c r="C16" s="33" t="s">
        <v>12</v>
      </c>
      <c r="D16" s="33" t="s">
        <v>13</v>
      </c>
      <c r="E16" s="33" t="s">
        <v>10</v>
      </c>
      <c r="F16" s="38" t="s">
        <v>14</v>
      </c>
      <c r="G16" s="123" t="s">
        <v>15</v>
      </c>
      <c r="H16" s="138" t="s">
        <v>102</v>
      </c>
      <c r="I16" s="138" t="s">
        <v>100</v>
      </c>
      <c r="J16" s="138" t="s">
        <v>89</v>
      </c>
      <c r="K16" s="138" t="s">
        <v>36</v>
      </c>
      <c r="L16" s="124" t="s">
        <v>16</v>
      </c>
      <c r="M16" s="125" t="s">
        <v>13</v>
      </c>
      <c r="N16" s="125" t="s">
        <v>17</v>
      </c>
      <c r="O16" s="125" t="s">
        <v>18</v>
      </c>
      <c r="P16" s="38" t="s">
        <v>19</v>
      </c>
      <c r="Q16" s="38" t="s">
        <v>20</v>
      </c>
      <c r="R16" s="39" t="s">
        <v>21</v>
      </c>
      <c r="S16" s="126" t="s">
        <v>22</v>
      </c>
      <c r="T16" s="60" t="s">
        <v>85</v>
      </c>
      <c r="U16" s="60" t="s">
        <v>85</v>
      </c>
      <c r="V16" s="60" t="s">
        <v>85</v>
      </c>
      <c r="W16" s="60" t="s">
        <v>85</v>
      </c>
    </row>
    <row r="17" spans="1:29" s="1" customFormat="1" ht="11.45" customHeight="1" thickBot="1" x14ac:dyDescent="0.25">
      <c r="A17" s="42" t="s">
        <v>23</v>
      </c>
      <c r="B17" s="43" t="s">
        <v>23</v>
      </c>
      <c r="C17" s="44" t="s">
        <v>24</v>
      </c>
      <c r="D17" s="44" t="s">
        <v>23</v>
      </c>
      <c r="E17" s="44" t="s">
        <v>25</v>
      </c>
      <c r="F17" s="44" t="s">
        <v>26</v>
      </c>
      <c r="G17" s="35" t="s">
        <v>27</v>
      </c>
      <c r="H17" s="139"/>
      <c r="I17" s="139"/>
      <c r="J17" s="139"/>
      <c r="K17" s="139"/>
      <c r="L17" s="45"/>
      <c r="M17" s="46" t="s">
        <v>28</v>
      </c>
      <c r="N17" s="46"/>
      <c r="O17" s="46" t="s">
        <v>29</v>
      </c>
      <c r="P17" s="47" t="s">
        <v>30</v>
      </c>
      <c r="Q17" s="47" t="s">
        <v>31</v>
      </c>
      <c r="R17" s="48" t="s">
        <v>32</v>
      </c>
      <c r="S17" s="49"/>
      <c r="T17" s="49" t="s">
        <v>110</v>
      </c>
      <c r="U17" s="49" t="s">
        <v>84</v>
      </c>
      <c r="V17" s="49" t="s">
        <v>90</v>
      </c>
      <c r="W17" s="49" t="s">
        <v>86</v>
      </c>
    </row>
    <row r="18" spans="1:29" ht="11.45" customHeight="1" thickBot="1" x14ac:dyDescent="0.25">
      <c r="A18" s="60"/>
      <c r="B18" s="61"/>
      <c r="C18" s="62"/>
      <c r="D18" s="63"/>
      <c r="E18" s="64"/>
      <c r="F18" s="62"/>
      <c r="G18" s="62"/>
      <c r="H18" s="65"/>
      <c r="I18" s="65"/>
      <c r="J18" s="65"/>
      <c r="K18" s="65"/>
      <c r="L18" s="66"/>
      <c r="M18" s="63"/>
      <c r="N18" s="62"/>
      <c r="O18" s="62"/>
      <c r="P18" s="62"/>
      <c r="Q18" s="62"/>
      <c r="R18" s="62"/>
      <c r="S18" s="66"/>
      <c r="T18" s="66"/>
      <c r="U18" s="63" t="s">
        <v>39</v>
      </c>
      <c r="V18" s="66"/>
      <c r="W18" s="63"/>
      <c r="AB18" s="3"/>
      <c r="AC18" s="3"/>
    </row>
    <row r="19" spans="1:29" ht="11.45" customHeight="1" thickTop="1" x14ac:dyDescent="0.2">
      <c r="A19" s="67"/>
      <c r="B19" s="68"/>
      <c r="C19" s="69"/>
      <c r="D19" s="70"/>
      <c r="E19" s="71"/>
      <c r="F19" s="69"/>
      <c r="G19" s="75"/>
      <c r="H19" s="69"/>
      <c r="I19" s="69"/>
      <c r="J19" s="69"/>
      <c r="K19" s="69"/>
      <c r="L19" s="76" t="s">
        <v>95</v>
      </c>
      <c r="M19" s="77"/>
      <c r="N19" s="69"/>
      <c r="O19" s="69"/>
      <c r="P19" s="69"/>
      <c r="Q19" s="69"/>
      <c r="R19" s="69"/>
      <c r="S19" s="72"/>
      <c r="T19" s="72"/>
      <c r="U19" s="73"/>
      <c r="V19" s="72"/>
      <c r="W19" s="72"/>
      <c r="AB19" s="3"/>
      <c r="AC19" s="3"/>
    </row>
    <row r="20" spans="1:29" ht="11.45" customHeight="1" x14ac:dyDescent="0.2">
      <c r="A20" s="59"/>
      <c r="B20" s="26"/>
      <c r="C20" s="24"/>
      <c r="D20" s="57"/>
      <c r="E20" s="28"/>
      <c r="F20" s="24"/>
      <c r="G20" s="24"/>
      <c r="H20" s="29"/>
      <c r="I20" s="29"/>
      <c r="J20" s="29"/>
      <c r="K20" s="29"/>
      <c r="L20" s="82" t="s">
        <v>98</v>
      </c>
      <c r="M20" s="25"/>
      <c r="N20" s="24"/>
      <c r="O20" s="24"/>
      <c r="P20" s="24"/>
      <c r="Q20" s="24"/>
      <c r="R20" s="24"/>
      <c r="S20" s="52"/>
      <c r="T20" s="52"/>
      <c r="U20" s="52"/>
      <c r="V20" s="51"/>
      <c r="W20" s="51"/>
      <c r="AB20" s="3"/>
      <c r="AC20" s="3"/>
    </row>
    <row r="21" spans="1:29" ht="11.45" customHeight="1" x14ac:dyDescent="0.2">
      <c r="A21" s="59"/>
      <c r="B21" s="26">
        <v>409</v>
      </c>
      <c r="C21" s="24" t="s">
        <v>33</v>
      </c>
      <c r="D21" s="57" t="s">
        <v>99</v>
      </c>
      <c r="E21" s="28" t="s">
        <v>38</v>
      </c>
      <c r="F21" s="24">
        <v>3</v>
      </c>
      <c r="G21" s="56">
        <v>0.8</v>
      </c>
      <c r="H21" s="24"/>
      <c r="I21" s="24">
        <v>1</v>
      </c>
      <c r="J21" s="24"/>
      <c r="K21" s="24"/>
      <c r="L21" s="25" t="s">
        <v>103</v>
      </c>
      <c r="M21" s="25" t="s">
        <v>223</v>
      </c>
      <c r="N21" s="24"/>
      <c r="O21" s="24" t="s">
        <v>104</v>
      </c>
      <c r="P21" s="24"/>
      <c r="Q21" s="24" t="s">
        <v>88</v>
      </c>
      <c r="R21" s="24"/>
      <c r="S21" s="51" t="s">
        <v>105</v>
      </c>
      <c r="T21" s="78" t="s">
        <v>39</v>
      </c>
      <c r="U21" s="52" t="s">
        <v>114</v>
      </c>
      <c r="V21" s="51" t="s">
        <v>106</v>
      </c>
      <c r="W21" s="78" t="s">
        <v>130</v>
      </c>
      <c r="AB21" s="3"/>
      <c r="AC21" s="3"/>
    </row>
    <row r="22" spans="1:29" ht="11.45" customHeight="1" x14ac:dyDescent="0.2">
      <c r="A22" s="59"/>
      <c r="B22" s="26">
        <v>314</v>
      </c>
      <c r="C22" s="24" t="s">
        <v>33</v>
      </c>
      <c r="D22" s="57">
        <v>42.43</v>
      </c>
      <c r="E22" s="28" t="s">
        <v>38</v>
      </c>
      <c r="F22" s="24">
        <v>2</v>
      </c>
      <c r="G22" s="56">
        <v>0.8</v>
      </c>
      <c r="H22" s="24">
        <v>1</v>
      </c>
      <c r="I22" s="24"/>
      <c r="J22" s="24"/>
      <c r="K22" s="24"/>
      <c r="L22" s="79" t="s">
        <v>107</v>
      </c>
      <c r="M22" s="25" t="s">
        <v>224</v>
      </c>
      <c r="N22" s="24"/>
      <c r="O22" s="24" t="s">
        <v>108</v>
      </c>
      <c r="P22" s="24"/>
      <c r="Q22" s="24"/>
      <c r="R22" s="24"/>
      <c r="S22" s="52" t="s">
        <v>105</v>
      </c>
      <c r="T22" s="52" t="s">
        <v>109</v>
      </c>
      <c r="U22" s="52" t="s">
        <v>215</v>
      </c>
      <c r="V22" s="51" t="s">
        <v>106</v>
      </c>
      <c r="W22" s="78" t="s">
        <v>132</v>
      </c>
      <c r="AB22" s="3"/>
      <c r="AC22" s="3"/>
    </row>
    <row r="23" spans="1:29" ht="11.45" customHeight="1" x14ac:dyDescent="0.2">
      <c r="A23" s="59"/>
      <c r="B23" s="83">
        <v>207</v>
      </c>
      <c r="C23" s="84" t="s">
        <v>34</v>
      </c>
      <c r="D23" s="85" t="s">
        <v>111</v>
      </c>
      <c r="E23" s="86" t="s">
        <v>152</v>
      </c>
      <c r="F23" s="84"/>
      <c r="G23" s="84"/>
      <c r="H23" s="84"/>
      <c r="I23" s="84"/>
      <c r="J23" s="84"/>
      <c r="K23" s="84"/>
      <c r="L23" s="87" t="s">
        <v>160</v>
      </c>
      <c r="M23" s="87" t="s">
        <v>49</v>
      </c>
      <c r="N23" s="84"/>
      <c r="O23" s="84" t="s">
        <v>112</v>
      </c>
      <c r="P23" s="84"/>
      <c r="Q23" s="84" t="s">
        <v>87</v>
      </c>
      <c r="R23" s="84"/>
      <c r="S23" s="87" t="s">
        <v>154</v>
      </c>
      <c r="T23" s="80" t="s">
        <v>39</v>
      </c>
      <c r="U23" s="52" t="s">
        <v>153</v>
      </c>
      <c r="V23" s="51" t="s">
        <v>178</v>
      </c>
      <c r="W23" s="51" t="s">
        <v>130</v>
      </c>
      <c r="AB23" s="3"/>
      <c r="AC23" s="3"/>
    </row>
    <row r="24" spans="1:29" ht="11.45" customHeight="1" x14ac:dyDescent="0.2">
      <c r="A24" s="59"/>
      <c r="B24" s="83">
        <v>207</v>
      </c>
      <c r="C24" s="84" t="s">
        <v>57</v>
      </c>
      <c r="D24" s="88" t="s">
        <v>122</v>
      </c>
      <c r="E24" s="86" t="s">
        <v>152</v>
      </c>
      <c r="F24" s="84"/>
      <c r="G24" s="89"/>
      <c r="H24" s="84"/>
      <c r="I24" s="84"/>
      <c r="J24" s="84"/>
      <c r="K24" s="84"/>
      <c r="L24" s="87" t="s">
        <v>161</v>
      </c>
      <c r="M24" s="87" t="s">
        <v>126</v>
      </c>
      <c r="N24" s="84"/>
      <c r="O24" s="84" t="s">
        <v>112</v>
      </c>
      <c r="P24" s="84"/>
      <c r="Q24" s="84"/>
      <c r="R24" s="84"/>
      <c r="S24" s="52"/>
      <c r="T24" s="80" t="s">
        <v>39</v>
      </c>
      <c r="U24" s="52"/>
      <c r="V24" s="51" t="s">
        <v>178</v>
      </c>
      <c r="W24" s="51" t="s">
        <v>132</v>
      </c>
      <c r="AB24" s="3"/>
      <c r="AC24" s="3"/>
    </row>
    <row r="25" spans="1:29" ht="11.45" customHeight="1" x14ac:dyDescent="0.2">
      <c r="A25" s="59"/>
      <c r="B25" s="83">
        <v>207</v>
      </c>
      <c r="C25" s="84" t="s">
        <v>33</v>
      </c>
      <c r="D25" s="88" t="s">
        <v>128</v>
      </c>
      <c r="E25" s="86" t="s">
        <v>152</v>
      </c>
      <c r="F25" s="84"/>
      <c r="G25" s="89"/>
      <c r="H25" s="84"/>
      <c r="I25" s="84"/>
      <c r="J25" s="84"/>
      <c r="K25" s="84"/>
      <c r="L25" s="87" t="s">
        <v>162</v>
      </c>
      <c r="M25" s="87" t="s">
        <v>129</v>
      </c>
      <c r="N25" s="84"/>
      <c r="O25" s="84" t="s">
        <v>112</v>
      </c>
      <c r="P25" s="84"/>
      <c r="Q25" s="84"/>
      <c r="R25" s="84"/>
      <c r="S25" s="52"/>
      <c r="T25" s="80" t="s">
        <v>39</v>
      </c>
      <c r="U25" s="52"/>
      <c r="V25" s="51" t="s">
        <v>178</v>
      </c>
      <c r="W25" s="51" t="s">
        <v>132</v>
      </c>
      <c r="AB25" s="3"/>
      <c r="AC25" s="3"/>
    </row>
    <row r="26" spans="1:29" ht="11.45" customHeight="1" x14ac:dyDescent="0.2">
      <c r="A26" s="59"/>
      <c r="B26" s="90">
        <v>207</v>
      </c>
      <c r="C26" s="91" t="s">
        <v>34</v>
      </c>
      <c r="D26" s="92" t="s">
        <v>164</v>
      </c>
      <c r="E26" s="93" t="s">
        <v>41</v>
      </c>
      <c r="F26" s="91" t="s">
        <v>92</v>
      </c>
      <c r="G26" s="94">
        <v>2.5</v>
      </c>
      <c r="H26" s="91"/>
      <c r="I26" s="91"/>
      <c r="J26" s="91"/>
      <c r="K26" s="91"/>
      <c r="L26" s="95" t="s">
        <v>159</v>
      </c>
      <c r="M26" s="95" t="s">
        <v>155</v>
      </c>
      <c r="N26" s="91"/>
      <c r="O26" s="91" t="s">
        <v>156</v>
      </c>
      <c r="P26" s="91" t="s">
        <v>172</v>
      </c>
      <c r="Q26" s="91" t="s">
        <v>120</v>
      </c>
      <c r="R26" s="91" t="s">
        <v>173</v>
      </c>
      <c r="S26" s="25"/>
      <c r="T26" s="80" t="s">
        <v>140</v>
      </c>
      <c r="U26" s="52"/>
      <c r="V26" s="51" t="s">
        <v>157</v>
      </c>
      <c r="W26" s="51" t="s">
        <v>158</v>
      </c>
      <c r="AB26" s="3"/>
      <c r="AC26" s="3"/>
    </row>
    <row r="27" spans="1:29" ht="11.45" customHeight="1" x14ac:dyDescent="0.2">
      <c r="A27" s="59"/>
      <c r="B27" s="90">
        <v>207</v>
      </c>
      <c r="C27" s="91" t="s">
        <v>57</v>
      </c>
      <c r="D27" s="92" t="s">
        <v>163</v>
      </c>
      <c r="E27" s="93" t="s">
        <v>38</v>
      </c>
      <c r="F27" s="91">
        <v>2</v>
      </c>
      <c r="G27" s="94">
        <v>0.8</v>
      </c>
      <c r="H27" s="91"/>
      <c r="I27" s="114">
        <v>1</v>
      </c>
      <c r="J27" s="91"/>
      <c r="K27" s="91"/>
      <c r="L27" s="95" t="s">
        <v>165</v>
      </c>
      <c r="M27" s="95" t="s">
        <v>155</v>
      </c>
      <c r="N27" s="91"/>
      <c r="O27" s="91" t="s">
        <v>156</v>
      </c>
      <c r="P27" s="91"/>
      <c r="Q27" s="91"/>
      <c r="R27" s="91"/>
      <c r="S27" s="25"/>
      <c r="T27" s="80" t="s">
        <v>39</v>
      </c>
      <c r="U27" s="80" t="s">
        <v>39</v>
      </c>
      <c r="V27" s="51" t="s">
        <v>157</v>
      </c>
      <c r="W27" s="51" t="s">
        <v>166</v>
      </c>
      <c r="AB27" s="3"/>
      <c r="AC27" s="3"/>
    </row>
    <row r="28" spans="1:29" ht="11.45" customHeight="1" x14ac:dyDescent="0.2">
      <c r="A28" s="59"/>
      <c r="B28" s="90">
        <v>207</v>
      </c>
      <c r="C28" s="91" t="s">
        <v>33</v>
      </c>
      <c r="D28" s="92" t="s">
        <v>163</v>
      </c>
      <c r="E28" s="93" t="s">
        <v>38</v>
      </c>
      <c r="F28" s="91">
        <v>2</v>
      </c>
      <c r="G28" s="94">
        <v>0.8</v>
      </c>
      <c r="H28" s="114">
        <v>1</v>
      </c>
      <c r="I28" s="91"/>
      <c r="J28" s="91"/>
      <c r="K28" s="91"/>
      <c r="L28" s="95" t="s">
        <v>167</v>
      </c>
      <c r="M28" s="95" t="s">
        <v>155</v>
      </c>
      <c r="N28" s="91"/>
      <c r="O28" s="91" t="s">
        <v>156</v>
      </c>
      <c r="P28" s="91"/>
      <c r="Q28" s="91"/>
      <c r="R28" s="91"/>
      <c r="S28" s="25"/>
      <c r="T28" s="80" t="s">
        <v>39</v>
      </c>
      <c r="U28" s="80" t="s">
        <v>39</v>
      </c>
      <c r="V28" s="51" t="s">
        <v>157</v>
      </c>
      <c r="W28" s="51" t="s">
        <v>168</v>
      </c>
      <c r="AB28" s="3"/>
      <c r="AC28" s="3"/>
    </row>
    <row r="29" spans="1:29" ht="11.45" customHeight="1" x14ac:dyDescent="0.2">
      <c r="A29" s="59"/>
      <c r="B29" s="74" t="s">
        <v>91</v>
      </c>
      <c r="C29" s="91" t="s">
        <v>33</v>
      </c>
      <c r="D29" s="96" t="s">
        <v>113</v>
      </c>
      <c r="E29" s="93" t="s">
        <v>40</v>
      </c>
      <c r="F29" s="91">
        <v>2</v>
      </c>
      <c r="G29" s="94">
        <v>0.8</v>
      </c>
      <c r="H29" s="91"/>
      <c r="I29" s="91"/>
      <c r="J29" s="91"/>
      <c r="K29" s="81">
        <v>1</v>
      </c>
      <c r="L29" s="95" t="s">
        <v>170</v>
      </c>
      <c r="M29" s="95" t="s">
        <v>155</v>
      </c>
      <c r="N29" s="91"/>
      <c r="O29" s="91" t="s">
        <v>156</v>
      </c>
      <c r="P29" s="91"/>
      <c r="Q29" s="91"/>
      <c r="R29" s="91"/>
      <c r="S29" s="25"/>
      <c r="T29" s="80"/>
      <c r="U29" s="80"/>
      <c r="V29" s="51" t="s">
        <v>171</v>
      </c>
      <c r="W29" s="51" t="s">
        <v>131</v>
      </c>
      <c r="AB29" s="3"/>
      <c r="AC29" s="3"/>
    </row>
    <row r="30" spans="1:29" ht="11.45" customHeight="1" x14ac:dyDescent="0.2">
      <c r="A30" s="59"/>
      <c r="B30" s="74" t="s">
        <v>91</v>
      </c>
      <c r="C30" s="91" t="s">
        <v>37</v>
      </c>
      <c r="D30" s="96" t="s">
        <v>113</v>
      </c>
      <c r="E30" s="93" t="s">
        <v>38</v>
      </c>
      <c r="F30" s="91">
        <v>2</v>
      </c>
      <c r="G30" s="94">
        <v>0.8</v>
      </c>
      <c r="H30" s="24"/>
      <c r="I30" s="24"/>
      <c r="J30" s="81">
        <v>1</v>
      </c>
      <c r="K30" s="24"/>
      <c r="L30" s="95" t="s">
        <v>169</v>
      </c>
      <c r="M30" s="95" t="s">
        <v>64</v>
      </c>
      <c r="N30" s="91"/>
      <c r="O30" s="91" t="s">
        <v>93</v>
      </c>
      <c r="P30" s="91"/>
      <c r="Q30" s="91"/>
      <c r="R30" s="91"/>
      <c r="S30" s="95" t="s">
        <v>105</v>
      </c>
      <c r="T30" s="25"/>
      <c r="U30" s="52" t="s">
        <v>115</v>
      </c>
      <c r="V30" s="51" t="s">
        <v>106</v>
      </c>
      <c r="W30" s="51" t="s">
        <v>132</v>
      </c>
      <c r="AB30" s="3"/>
      <c r="AC30" s="3"/>
    </row>
    <row r="31" spans="1:29" ht="11.45" customHeight="1" x14ac:dyDescent="0.2">
      <c r="A31" s="59"/>
      <c r="B31" s="26">
        <v>207</v>
      </c>
      <c r="C31" s="24" t="s">
        <v>34</v>
      </c>
      <c r="D31" s="57" t="s">
        <v>117</v>
      </c>
      <c r="E31" s="28" t="s">
        <v>123</v>
      </c>
      <c r="F31" s="24"/>
      <c r="G31" s="29" t="s">
        <v>39</v>
      </c>
      <c r="H31" s="24"/>
      <c r="I31" s="24"/>
      <c r="J31" s="24"/>
      <c r="K31" s="24"/>
      <c r="L31" s="25" t="s">
        <v>118</v>
      </c>
      <c r="M31" s="25" t="s">
        <v>119</v>
      </c>
      <c r="N31" s="24" t="s">
        <v>35</v>
      </c>
      <c r="O31" s="24" t="s">
        <v>116</v>
      </c>
      <c r="P31" s="24"/>
      <c r="Q31" s="24" t="s">
        <v>120</v>
      </c>
      <c r="R31" s="24"/>
      <c r="S31" s="25" t="s">
        <v>121</v>
      </c>
      <c r="T31" s="53" t="s">
        <v>39</v>
      </c>
      <c r="U31" s="53" t="s">
        <v>39</v>
      </c>
      <c r="V31" s="78" t="s">
        <v>39</v>
      </c>
      <c r="W31" s="78" t="s">
        <v>39</v>
      </c>
      <c r="AB31" s="3"/>
      <c r="AC31" s="3"/>
    </row>
    <row r="32" spans="1:29" ht="11.45" customHeight="1" x14ac:dyDescent="0.2">
      <c r="A32" s="59"/>
      <c r="B32" s="26">
        <v>207</v>
      </c>
      <c r="C32" s="24" t="s">
        <v>33</v>
      </c>
      <c r="D32" s="57">
        <v>61.62</v>
      </c>
      <c r="E32" s="28" t="s">
        <v>123</v>
      </c>
      <c r="F32" s="24"/>
      <c r="G32" s="29" t="s">
        <v>39</v>
      </c>
      <c r="H32" s="24"/>
      <c r="I32" s="24">
        <v>1</v>
      </c>
      <c r="J32" s="24"/>
      <c r="K32" s="24"/>
      <c r="L32" s="25" t="s">
        <v>124</v>
      </c>
      <c r="M32" s="25" t="s">
        <v>126</v>
      </c>
      <c r="N32" s="24"/>
      <c r="O32" s="24" t="s">
        <v>116</v>
      </c>
      <c r="P32" s="24"/>
      <c r="Q32" s="24"/>
      <c r="R32" s="24"/>
      <c r="S32" s="25" t="s">
        <v>121</v>
      </c>
      <c r="T32" s="53" t="s">
        <v>39</v>
      </c>
      <c r="U32" s="53" t="s">
        <v>39</v>
      </c>
      <c r="V32" s="78" t="s">
        <v>39</v>
      </c>
      <c r="W32" s="78" t="s">
        <v>39</v>
      </c>
      <c r="AB32" s="3"/>
      <c r="AC32" s="3"/>
    </row>
    <row r="33" spans="1:29" ht="11.45" customHeight="1" x14ac:dyDescent="0.2">
      <c r="A33" s="59"/>
      <c r="B33" s="26">
        <v>207</v>
      </c>
      <c r="C33" s="24" t="s">
        <v>33</v>
      </c>
      <c r="D33" s="58" t="s">
        <v>122</v>
      </c>
      <c r="E33" s="28" t="s">
        <v>123</v>
      </c>
      <c r="F33" s="24"/>
      <c r="G33" s="29" t="s">
        <v>39</v>
      </c>
      <c r="H33" s="24">
        <v>1</v>
      </c>
      <c r="I33" s="24"/>
      <c r="J33" s="24"/>
      <c r="K33" s="24"/>
      <c r="L33" s="25" t="s">
        <v>125</v>
      </c>
      <c r="M33" s="25" t="s">
        <v>127</v>
      </c>
      <c r="N33" s="24"/>
      <c r="O33" s="24" t="s">
        <v>116</v>
      </c>
      <c r="P33" s="24"/>
      <c r="Q33" s="24"/>
      <c r="R33" s="24"/>
      <c r="S33" s="25" t="s">
        <v>121</v>
      </c>
      <c r="T33" s="53" t="s">
        <v>39</v>
      </c>
      <c r="U33" s="53" t="s">
        <v>39</v>
      </c>
      <c r="V33" s="78" t="s">
        <v>39</v>
      </c>
      <c r="W33" s="78" t="s">
        <v>39</v>
      </c>
      <c r="AB33" s="3"/>
      <c r="AC33" s="3"/>
    </row>
    <row r="34" spans="1:29" ht="11.45" customHeight="1" x14ac:dyDescent="0.2">
      <c r="A34" s="59"/>
      <c r="B34" s="26">
        <v>312</v>
      </c>
      <c r="C34" s="24" t="s">
        <v>33</v>
      </c>
      <c r="D34" s="57" t="s">
        <v>133</v>
      </c>
      <c r="E34" s="28" t="s">
        <v>123</v>
      </c>
      <c r="F34" s="24"/>
      <c r="G34" s="29" t="s">
        <v>39</v>
      </c>
      <c r="H34" s="24"/>
      <c r="I34" s="24"/>
      <c r="J34" s="24"/>
      <c r="K34" s="24">
        <v>1</v>
      </c>
      <c r="L34" s="25" t="s">
        <v>134</v>
      </c>
      <c r="M34" s="25" t="s">
        <v>135</v>
      </c>
      <c r="N34" s="24"/>
      <c r="O34" s="24" t="s">
        <v>136</v>
      </c>
      <c r="P34" s="24"/>
      <c r="Q34" s="24" t="s">
        <v>88</v>
      </c>
      <c r="R34" s="24"/>
      <c r="S34" s="25" t="s">
        <v>121</v>
      </c>
      <c r="T34" s="53" t="s">
        <v>39</v>
      </c>
      <c r="U34" s="80" t="s">
        <v>39</v>
      </c>
      <c r="V34" s="78" t="s">
        <v>39</v>
      </c>
      <c r="W34" s="78" t="s">
        <v>39</v>
      </c>
      <c r="AB34" s="3"/>
      <c r="AC34" s="3"/>
    </row>
    <row r="35" spans="1:29" ht="11.45" customHeight="1" x14ac:dyDescent="0.2">
      <c r="A35" s="59"/>
      <c r="B35" s="26">
        <v>314</v>
      </c>
      <c r="C35" s="24" t="s">
        <v>33</v>
      </c>
      <c r="D35" s="57">
        <v>46.47</v>
      </c>
      <c r="E35" s="28" t="s">
        <v>38</v>
      </c>
      <c r="F35" s="24">
        <v>2</v>
      </c>
      <c r="G35" s="56">
        <v>0.8</v>
      </c>
      <c r="H35" s="24">
        <v>1</v>
      </c>
      <c r="I35" s="24"/>
      <c r="J35" s="24"/>
      <c r="K35" s="24"/>
      <c r="L35" s="25" t="s">
        <v>137</v>
      </c>
      <c r="M35" s="25" t="s">
        <v>226</v>
      </c>
      <c r="N35" s="24"/>
      <c r="O35" s="24" t="s">
        <v>138</v>
      </c>
      <c r="P35" s="24"/>
      <c r="Q35" s="24"/>
      <c r="R35" s="24"/>
      <c r="S35" s="25" t="s">
        <v>139</v>
      </c>
      <c r="T35" s="53" t="s">
        <v>140</v>
      </c>
      <c r="U35" s="80" t="s">
        <v>141</v>
      </c>
      <c r="V35" s="51" t="s">
        <v>106</v>
      </c>
      <c r="W35" s="78" t="s">
        <v>130</v>
      </c>
      <c r="AB35" s="3"/>
      <c r="AC35" s="3"/>
    </row>
    <row r="36" spans="1:29" ht="11.45" customHeight="1" x14ac:dyDescent="0.2">
      <c r="A36" s="59"/>
      <c r="B36" s="26">
        <v>210</v>
      </c>
      <c r="C36" s="24" t="s">
        <v>34</v>
      </c>
      <c r="D36" s="57" t="s">
        <v>151</v>
      </c>
      <c r="E36" s="28" t="s">
        <v>123</v>
      </c>
      <c r="F36" s="24"/>
      <c r="G36" s="29" t="s">
        <v>39</v>
      </c>
      <c r="H36" s="29" t="s">
        <v>39</v>
      </c>
      <c r="I36" s="29" t="s">
        <v>39</v>
      </c>
      <c r="J36" s="29" t="s">
        <v>39</v>
      </c>
      <c r="K36" s="29" t="s">
        <v>39</v>
      </c>
      <c r="L36" s="25" t="s">
        <v>142</v>
      </c>
      <c r="M36" s="25" t="s">
        <v>44</v>
      </c>
      <c r="N36" s="24"/>
      <c r="O36" s="24" t="s">
        <v>143</v>
      </c>
      <c r="P36" s="24"/>
      <c r="Q36" s="24" t="s">
        <v>87</v>
      </c>
      <c r="R36" s="24"/>
      <c r="S36" s="25" t="s">
        <v>121</v>
      </c>
      <c r="T36" s="53" t="s">
        <v>39</v>
      </c>
      <c r="U36" s="80" t="s">
        <v>39</v>
      </c>
      <c r="V36" s="78" t="s">
        <v>39</v>
      </c>
      <c r="W36" s="78" t="s">
        <v>39</v>
      </c>
      <c r="AB36" s="3"/>
      <c r="AC36" s="3"/>
    </row>
    <row r="37" spans="1:29" ht="11.45" customHeight="1" x14ac:dyDescent="0.2">
      <c r="A37" s="59"/>
      <c r="B37" s="26">
        <v>410</v>
      </c>
      <c r="C37" s="24" t="s">
        <v>45</v>
      </c>
      <c r="D37" s="57" t="s">
        <v>150</v>
      </c>
      <c r="E37" s="28" t="s">
        <v>123</v>
      </c>
      <c r="F37" s="24"/>
      <c r="G37" s="29" t="s">
        <v>39</v>
      </c>
      <c r="H37" s="29" t="s">
        <v>39</v>
      </c>
      <c r="I37" s="29" t="s">
        <v>39</v>
      </c>
      <c r="J37" s="29" t="s">
        <v>39</v>
      </c>
      <c r="K37" s="29" t="s">
        <v>39</v>
      </c>
      <c r="L37" s="25" t="s">
        <v>145</v>
      </c>
      <c r="M37" s="25"/>
      <c r="N37" s="24"/>
      <c r="O37" s="24" t="s">
        <v>144</v>
      </c>
      <c r="P37" s="24"/>
      <c r="Q37" s="24" t="s">
        <v>120</v>
      </c>
      <c r="R37" s="24"/>
      <c r="S37" s="25" t="s">
        <v>121</v>
      </c>
      <c r="T37" s="53" t="s">
        <v>39</v>
      </c>
      <c r="U37" s="80" t="s">
        <v>39</v>
      </c>
      <c r="V37" s="78" t="s">
        <v>39</v>
      </c>
      <c r="W37" s="78" t="s">
        <v>39</v>
      </c>
      <c r="AB37" s="3"/>
      <c r="AC37" s="3"/>
    </row>
    <row r="38" spans="1:29" ht="11.45" customHeight="1" x14ac:dyDescent="0.2">
      <c r="A38" s="59"/>
      <c r="B38" s="26">
        <v>312</v>
      </c>
      <c r="C38" s="24" t="s">
        <v>33</v>
      </c>
      <c r="D38" s="57" t="s">
        <v>146</v>
      </c>
      <c r="E38" s="28" t="s">
        <v>123</v>
      </c>
      <c r="F38" s="24"/>
      <c r="G38" s="29" t="s">
        <v>39</v>
      </c>
      <c r="H38" s="24"/>
      <c r="I38" s="24"/>
      <c r="J38" s="24"/>
      <c r="K38" s="24">
        <v>1</v>
      </c>
      <c r="L38" s="25" t="s">
        <v>147</v>
      </c>
      <c r="M38" s="25" t="s">
        <v>135</v>
      </c>
      <c r="N38" s="24"/>
      <c r="O38" s="24" t="s">
        <v>148</v>
      </c>
      <c r="P38" s="24"/>
      <c r="Q38" s="24" t="s">
        <v>88</v>
      </c>
      <c r="R38" s="24"/>
      <c r="S38" s="25" t="s">
        <v>121</v>
      </c>
      <c r="T38" s="53" t="s">
        <v>39</v>
      </c>
      <c r="U38" s="80" t="s">
        <v>39</v>
      </c>
      <c r="V38" s="78" t="s">
        <v>39</v>
      </c>
      <c r="W38" s="78" t="s">
        <v>39</v>
      </c>
      <c r="AB38" s="3"/>
      <c r="AC38" s="3"/>
    </row>
    <row r="39" spans="1:29" ht="11.45" customHeight="1" x14ac:dyDescent="0.2">
      <c r="A39" s="59"/>
      <c r="B39" s="83">
        <v>208</v>
      </c>
      <c r="C39" s="84" t="s">
        <v>34</v>
      </c>
      <c r="D39" s="85" t="s">
        <v>149</v>
      </c>
      <c r="E39" s="86" t="s">
        <v>152</v>
      </c>
      <c r="F39" s="84"/>
      <c r="G39" s="97"/>
      <c r="H39" s="84"/>
      <c r="I39" s="84"/>
      <c r="J39" s="84"/>
      <c r="K39" s="84"/>
      <c r="L39" s="87" t="s">
        <v>174</v>
      </c>
      <c r="M39" s="87" t="s">
        <v>175</v>
      </c>
      <c r="N39" s="84" t="s">
        <v>60</v>
      </c>
      <c r="O39" s="84" t="s">
        <v>176</v>
      </c>
      <c r="P39" s="84"/>
      <c r="Q39" s="84" t="s">
        <v>87</v>
      </c>
      <c r="R39" s="84"/>
      <c r="S39" s="87" t="s">
        <v>184</v>
      </c>
      <c r="T39" s="53" t="s">
        <v>39</v>
      </c>
      <c r="U39" s="80" t="s">
        <v>177</v>
      </c>
      <c r="V39" s="51" t="s">
        <v>178</v>
      </c>
      <c r="W39" s="78" t="s">
        <v>130</v>
      </c>
      <c r="AB39" s="3"/>
      <c r="AC39" s="3"/>
    </row>
    <row r="40" spans="1:29" ht="11.45" customHeight="1" x14ac:dyDescent="0.2">
      <c r="A40" s="59"/>
      <c r="B40" s="83">
        <v>208</v>
      </c>
      <c r="C40" s="84" t="s">
        <v>34</v>
      </c>
      <c r="D40" s="85" t="s">
        <v>181</v>
      </c>
      <c r="E40" s="86" t="s">
        <v>152</v>
      </c>
      <c r="F40" s="84"/>
      <c r="G40" s="97"/>
      <c r="H40" s="84"/>
      <c r="I40" s="84"/>
      <c r="J40" s="84"/>
      <c r="K40" s="84"/>
      <c r="L40" s="87" t="s">
        <v>182</v>
      </c>
      <c r="M40" s="87" t="s">
        <v>175</v>
      </c>
      <c r="N40" s="84" t="s">
        <v>60</v>
      </c>
      <c r="O40" s="84" t="s">
        <v>183</v>
      </c>
      <c r="P40" s="84"/>
      <c r="Q40" s="84" t="s">
        <v>87</v>
      </c>
      <c r="R40" s="84"/>
      <c r="S40" s="87" t="s">
        <v>184</v>
      </c>
      <c r="T40" s="53" t="s">
        <v>39</v>
      </c>
      <c r="U40" s="80" t="s">
        <v>177</v>
      </c>
      <c r="V40" s="51" t="s">
        <v>178</v>
      </c>
      <c r="W40" s="78" t="s">
        <v>132</v>
      </c>
      <c r="AB40" s="3"/>
      <c r="AC40" s="3"/>
    </row>
    <row r="41" spans="1:29" ht="11.45" customHeight="1" x14ac:dyDescent="0.2">
      <c r="A41" s="59"/>
      <c r="B41" s="90">
        <v>208</v>
      </c>
      <c r="C41" s="91" t="s">
        <v>34</v>
      </c>
      <c r="D41" s="96" t="s">
        <v>179</v>
      </c>
      <c r="E41" s="93" t="s">
        <v>41</v>
      </c>
      <c r="F41" s="91" t="s">
        <v>180</v>
      </c>
      <c r="G41" s="98" t="s">
        <v>185</v>
      </c>
      <c r="H41" s="91"/>
      <c r="I41" s="91"/>
      <c r="J41" s="91"/>
      <c r="K41" s="91"/>
      <c r="L41" s="95" t="s">
        <v>190</v>
      </c>
      <c r="M41" s="95" t="s">
        <v>44</v>
      </c>
      <c r="N41" s="91" t="s">
        <v>55</v>
      </c>
      <c r="O41" s="91" t="s">
        <v>186</v>
      </c>
      <c r="P41" s="91" t="s">
        <v>188</v>
      </c>
      <c r="Q41" s="91" t="s">
        <v>87</v>
      </c>
      <c r="R41" s="91" t="s">
        <v>187</v>
      </c>
      <c r="S41" s="95" t="s">
        <v>189</v>
      </c>
      <c r="T41" s="53" t="s">
        <v>140</v>
      </c>
      <c r="U41" s="80" t="s">
        <v>39</v>
      </c>
      <c r="V41" s="51" t="s">
        <v>191</v>
      </c>
      <c r="W41" s="78" t="s">
        <v>131</v>
      </c>
      <c r="AB41" s="3"/>
      <c r="AC41" s="3"/>
    </row>
    <row r="42" spans="1:29" ht="11.45" customHeight="1" x14ac:dyDescent="0.2">
      <c r="A42" s="59"/>
      <c r="B42" s="74" t="s">
        <v>91</v>
      </c>
      <c r="C42" s="91" t="s">
        <v>33</v>
      </c>
      <c r="D42" s="96" t="s">
        <v>113</v>
      </c>
      <c r="E42" s="93" t="s">
        <v>38</v>
      </c>
      <c r="F42" s="91">
        <v>4</v>
      </c>
      <c r="G42" s="100">
        <v>0.8</v>
      </c>
      <c r="H42" s="24">
        <v>1</v>
      </c>
      <c r="I42" s="24">
        <v>1</v>
      </c>
      <c r="J42" s="24"/>
      <c r="K42" s="24"/>
      <c r="L42" s="95" t="s">
        <v>192</v>
      </c>
      <c r="M42" s="95" t="s">
        <v>194</v>
      </c>
      <c r="N42" s="24"/>
      <c r="O42" s="91" t="s">
        <v>176</v>
      </c>
      <c r="P42" s="24"/>
      <c r="Q42" s="24"/>
      <c r="R42" s="24"/>
      <c r="S42" s="53" t="s">
        <v>39</v>
      </c>
      <c r="T42" s="53" t="s">
        <v>39</v>
      </c>
      <c r="U42" s="80" t="s">
        <v>39</v>
      </c>
      <c r="V42" s="51" t="s">
        <v>157</v>
      </c>
      <c r="W42" s="78" t="s">
        <v>132</v>
      </c>
      <c r="AB42" s="3"/>
      <c r="AC42" s="3"/>
    </row>
    <row r="43" spans="1:29" ht="11.45" customHeight="1" x14ac:dyDescent="0.2">
      <c r="A43" s="59"/>
      <c r="B43" s="74" t="s">
        <v>91</v>
      </c>
      <c r="C43" s="91" t="s">
        <v>33</v>
      </c>
      <c r="D43" s="96" t="s">
        <v>113</v>
      </c>
      <c r="E43" s="93" t="s">
        <v>40</v>
      </c>
      <c r="F43" s="91">
        <v>2</v>
      </c>
      <c r="G43" s="100">
        <v>0.8</v>
      </c>
      <c r="H43" s="24"/>
      <c r="I43" s="24"/>
      <c r="J43" s="24"/>
      <c r="K43" s="81">
        <v>1</v>
      </c>
      <c r="L43" s="95" t="s">
        <v>193</v>
      </c>
      <c r="M43" s="95" t="s">
        <v>195</v>
      </c>
      <c r="N43" s="24"/>
      <c r="O43" s="91" t="s">
        <v>176</v>
      </c>
      <c r="P43" s="24"/>
      <c r="Q43" s="24"/>
      <c r="R43" s="24"/>
      <c r="S43" s="53" t="s">
        <v>39</v>
      </c>
      <c r="T43" s="53" t="s">
        <v>39</v>
      </c>
      <c r="U43" s="80" t="s">
        <v>39</v>
      </c>
      <c r="V43" s="51" t="s">
        <v>171</v>
      </c>
      <c r="W43" s="78" t="s">
        <v>132</v>
      </c>
      <c r="AB43" s="3"/>
      <c r="AC43" s="3"/>
    </row>
    <row r="44" spans="1:29" ht="11.45" customHeight="1" x14ac:dyDescent="0.2">
      <c r="A44" s="59"/>
      <c r="B44" s="74" t="s">
        <v>91</v>
      </c>
      <c r="C44" s="91" t="s">
        <v>33</v>
      </c>
      <c r="D44" s="96" t="s">
        <v>113</v>
      </c>
      <c r="E44" s="93" t="s">
        <v>38</v>
      </c>
      <c r="F44" s="91">
        <v>4</v>
      </c>
      <c r="G44" s="100">
        <v>0.8</v>
      </c>
      <c r="H44" s="24">
        <v>1</v>
      </c>
      <c r="I44" s="24">
        <v>1</v>
      </c>
      <c r="J44" s="24"/>
      <c r="K44" s="24"/>
      <c r="L44" s="95" t="s">
        <v>196</v>
      </c>
      <c r="M44" s="95" t="s">
        <v>198</v>
      </c>
      <c r="N44" s="24"/>
      <c r="O44" s="91" t="s">
        <v>183</v>
      </c>
      <c r="P44" s="24"/>
      <c r="Q44" s="24"/>
      <c r="R44" s="24"/>
      <c r="S44" s="53" t="s">
        <v>39</v>
      </c>
      <c r="T44" s="53" t="s">
        <v>39</v>
      </c>
      <c r="U44" s="80" t="s">
        <v>39</v>
      </c>
      <c r="V44" s="51" t="s">
        <v>157</v>
      </c>
      <c r="W44" s="78" t="s">
        <v>132</v>
      </c>
      <c r="AB44" s="3"/>
      <c r="AC44" s="3"/>
    </row>
    <row r="45" spans="1:29" ht="11.45" customHeight="1" x14ac:dyDescent="0.2">
      <c r="A45" s="59"/>
      <c r="B45" s="74" t="s">
        <v>91</v>
      </c>
      <c r="C45" s="91" t="s">
        <v>33</v>
      </c>
      <c r="D45" s="96" t="s">
        <v>113</v>
      </c>
      <c r="E45" s="93" t="s">
        <v>40</v>
      </c>
      <c r="F45" s="91">
        <v>2</v>
      </c>
      <c r="G45" s="100">
        <v>0.8</v>
      </c>
      <c r="H45" s="24"/>
      <c r="I45" s="24"/>
      <c r="J45" s="24"/>
      <c r="K45" s="81">
        <v>1</v>
      </c>
      <c r="L45" s="95" t="s">
        <v>197</v>
      </c>
      <c r="M45" s="95" t="s">
        <v>199</v>
      </c>
      <c r="N45" s="24"/>
      <c r="O45" s="91" t="s">
        <v>183</v>
      </c>
      <c r="P45" s="24"/>
      <c r="Q45" s="24"/>
      <c r="R45" s="24"/>
      <c r="S45" s="53" t="s">
        <v>39</v>
      </c>
      <c r="T45" s="53" t="s">
        <v>39</v>
      </c>
      <c r="U45" s="80" t="s">
        <v>39</v>
      </c>
      <c r="V45" s="51" t="s">
        <v>171</v>
      </c>
      <c r="W45" s="78" t="s">
        <v>132</v>
      </c>
      <c r="AB45" s="3"/>
      <c r="AC45" s="3"/>
    </row>
    <row r="46" spans="1:29" ht="11.45" customHeight="1" x14ac:dyDescent="0.2">
      <c r="A46" s="59"/>
      <c r="B46" s="26">
        <v>315</v>
      </c>
      <c r="C46" s="24" t="s">
        <v>37</v>
      </c>
      <c r="D46" s="57">
        <v>15.16</v>
      </c>
      <c r="E46" s="28" t="s">
        <v>38</v>
      </c>
      <c r="F46" s="24">
        <v>2</v>
      </c>
      <c r="G46" s="56">
        <v>0.8</v>
      </c>
      <c r="H46" s="24"/>
      <c r="I46" s="24"/>
      <c r="J46" s="24">
        <v>1</v>
      </c>
      <c r="K46" s="24"/>
      <c r="L46" s="25" t="s">
        <v>200</v>
      </c>
      <c r="M46" s="25" t="s">
        <v>221</v>
      </c>
      <c r="N46" s="24"/>
      <c r="O46" s="24" t="s">
        <v>201</v>
      </c>
      <c r="P46" s="24"/>
      <c r="Q46" s="24"/>
      <c r="R46" s="24"/>
      <c r="S46" s="25" t="s">
        <v>202</v>
      </c>
      <c r="T46" s="53" t="s">
        <v>39</v>
      </c>
      <c r="U46" s="80" t="s">
        <v>39</v>
      </c>
      <c r="V46" s="51" t="s">
        <v>106</v>
      </c>
      <c r="W46" s="78" t="s">
        <v>39</v>
      </c>
      <c r="AB46" s="3"/>
      <c r="AC46" s="3"/>
    </row>
    <row r="47" spans="1:29" ht="11.45" customHeight="1" x14ac:dyDescent="0.2">
      <c r="A47" s="59"/>
      <c r="B47" s="74" t="s">
        <v>91</v>
      </c>
      <c r="C47" s="91" t="s">
        <v>33</v>
      </c>
      <c r="D47" s="96" t="s">
        <v>113</v>
      </c>
      <c r="E47" s="93" t="s">
        <v>38</v>
      </c>
      <c r="F47" s="91" t="s">
        <v>92</v>
      </c>
      <c r="G47" s="94">
        <v>0.8</v>
      </c>
      <c r="H47" s="24"/>
      <c r="I47" s="24"/>
      <c r="J47" s="81">
        <v>1</v>
      </c>
      <c r="K47" s="24"/>
      <c r="L47" s="95" t="s">
        <v>203</v>
      </c>
      <c r="M47" s="95" t="s">
        <v>61</v>
      </c>
      <c r="N47" s="91"/>
      <c r="O47" s="91" t="s">
        <v>204</v>
      </c>
      <c r="P47" s="91"/>
      <c r="Q47" s="91" t="s">
        <v>88</v>
      </c>
      <c r="R47" s="91"/>
      <c r="S47" s="95" t="s">
        <v>105</v>
      </c>
      <c r="T47" s="53" t="s">
        <v>39</v>
      </c>
      <c r="U47" s="80" t="s">
        <v>205</v>
      </c>
      <c r="V47" s="51" t="s">
        <v>157</v>
      </c>
      <c r="W47" s="78" t="s">
        <v>131</v>
      </c>
      <c r="AB47" s="3"/>
      <c r="AC47" s="3"/>
    </row>
    <row r="48" spans="1:29" ht="11.45" customHeight="1" x14ac:dyDescent="0.2">
      <c r="A48" s="59"/>
      <c r="B48" s="74" t="s">
        <v>91</v>
      </c>
      <c r="C48" s="91" t="s">
        <v>33</v>
      </c>
      <c r="D48" s="96" t="s">
        <v>113</v>
      </c>
      <c r="E48" s="93" t="s">
        <v>38</v>
      </c>
      <c r="F48" s="91" t="s">
        <v>92</v>
      </c>
      <c r="G48" s="100">
        <v>0.8</v>
      </c>
      <c r="H48" s="24"/>
      <c r="I48" s="24"/>
      <c r="J48" s="81">
        <v>1</v>
      </c>
      <c r="K48" s="24"/>
      <c r="L48" s="95" t="s">
        <v>208</v>
      </c>
      <c r="M48" s="95" t="s">
        <v>61</v>
      </c>
      <c r="N48" s="91"/>
      <c r="O48" s="91" t="s">
        <v>206</v>
      </c>
      <c r="P48" s="91"/>
      <c r="Q48" s="91" t="s">
        <v>88</v>
      </c>
      <c r="R48" s="91"/>
      <c r="S48" s="95" t="s">
        <v>105</v>
      </c>
      <c r="T48" s="53" t="s">
        <v>39</v>
      </c>
      <c r="U48" s="80" t="s">
        <v>207</v>
      </c>
      <c r="V48" s="51" t="s">
        <v>157</v>
      </c>
      <c r="W48" s="78" t="s">
        <v>132</v>
      </c>
      <c r="AB48" s="3"/>
      <c r="AC48" s="3"/>
    </row>
    <row r="49" spans="1:29" ht="11.45" customHeight="1" x14ac:dyDescent="0.2">
      <c r="A49" s="59"/>
      <c r="B49" s="26">
        <v>316</v>
      </c>
      <c r="C49" s="24" t="s">
        <v>37</v>
      </c>
      <c r="D49" s="57">
        <v>17.18</v>
      </c>
      <c r="E49" s="28" t="s">
        <v>38</v>
      </c>
      <c r="F49" s="24">
        <v>2</v>
      </c>
      <c r="G49" s="56">
        <v>0.8</v>
      </c>
      <c r="H49" s="24"/>
      <c r="I49" s="24"/>
      <c r="J49" s="24">
        <v>1</v>
      </c>
      <c r="K49" s="24"/>
      <c r="L49" s="25" t="s">
        <v>209</v>
      </c>
      <c r="M49" s="25" t="s">
        <v>220</v>
      </c>
      <c r="N49" s="24"/>
      <c r="O49" s="24" t="s">
        <v>210</v>
      </c>
      <c r="P49" s="24"/>
      <c r="Q49" s="24"/>
      <c r="R49" s="24"/>
      <c r="S49" s="25" t="s">
        <v>202</v>
      </c>
      <c r="T49" s="53" t="s">
        <v>39</v>
      </c>
      <c r="U49" s="80" t="s">
        <v>39</v>
      </c>
      <c r="V49" s="51" t="s">
        <v>106</v>
      </c>
      <c r="W49" s="78" t="s">
        <v>39</v>
      </c>
      <c r="AB49" s="3"/>
      <c r="AC49" s="3"/>
    </row>
    <row r="50" spans="1:29" ht="11.45" customHeight="1" x14ac:dyDescent="0.2">
      <c r="A50" s="59"/>
      <c r="B50" s="74" t="s">
        <v>91</v>
      </c>
      <c r="C50" s="91" t="s">
        <v>33</v>
      </c>
      <c r="D50" s="96" t="s">
        <v>113</v>
      </c>
      <c r="E50" s="93" t="s">
        <v>38</v>
      </c>
      <c r="F50" s="91" t="s">
        <v>92</v>
      </c>
      <c r="G50" s="94">
        <v>0.8</v>
      </c>
      <c r="H50" s="24"/>
      <c r="I50" s="24"/>
      <c r="J50" s="81">
        <v>1</v>
      </c>
      <c r="K50" s="24"/>
      <c r="L50" s="95" t="s">
        <v>211</v>
      </c>
      <c r="M50" s="95" t="s">
        <v>61</v>
      </c>
      <c r="N50" s="91"/>
      <c r="O50" s="91" t="s">
        <v>204</v>
      </c>
      <c r="P50" s="91"/>
      <c r="Q50" s="91" t="s">
        <v>88</v>
      </c>
      <c r="R50" s="91"/>
      <c r="S50" s="95" t="s">
        <v>105</v>
      </c>
      <c r="T50" s="53" t="s">
        <v>39</v>
      </c>
      <c r="U50" s="80" t="s">
        <v>205</v>
      </c>
      <c r="V50" s="51" t="s">
        <v>157</v>
      </c>
      <c r="W50" s="78" t="s">
        <v>131</v>
      </c>
      <c r="AB50" s="3"/>
      <c r="AC50" s="3"/>
    </row>
    <row r="51" spans="1:29" ht="11.45" customHeight="1" x14ac:dyDescent="0.2">
      <c r="A51" s="59"/>
      <c r="B51" s="74" t="s">
        <v>91</v>
      </c>
      <c r="C51" s="91" t="s">
        <v>33</v>
      </c>
      <c r="D51" s="96" t="s">
        <v>113</v>
      </c>
      <c r="E51" s="93" t="s">
        <v>38</v>
      </c>
      <c r="F51" s="91" t="s">
        <v>92</v>
      </c>
      <c r="G51" s="100">
        <v>0.8</v>
      </c>
      <c r="H51" s="24"/>
      <c r="I51" s="24"/>
      <c r="J51" s="81">
        <v>1</v>
      </c>
      <c r="K51" s="24"/>
      <c r="L51" s="95" t="s">
        <v>212</v>
      </c>
      <c r="M51" s="95" t="s">
        <v>61</v>
      </c>
      <c r="N51" s="91"/>
      <c r="O51" s="91" t="s">
        <v>206</v>
      </c>
      <c r="P51" s="91"/>
      <c r="Q51" s="91" t="s">
        <v>88</v>
      </c>
      <c r="R51" s="91"/>
      <c r="S51" s="95" t="s">
        <v>105</v>
      </c>
      <c r="T51" s="53" t="s">
        <v>39</v>
      </c>
      <c r="U51" s="80" t="s">
        <v>207</v>
      </c>
      <c r="V51" s="51" t="s">
        <v>157</v>
      </c>
      <c r="W51" s="78" t="s">
        <v>132</v>
      </c>
      <c r="AB51" s="3"/>
      <c r="AC51" s="3"/>
    </row>
    <row r="52" spans="1:29" ht="11.45" customHeight="1" x14ac:dyDescent="0.2">
      <c r="A52" s="59"/>
      <c r="B52" s="26">
        <v>314</v>
      </c>
      <c r="C52" s="24" t="s">
        <v>33</v>
      </c>
      <c r="D52" s="57">
        <v>44.45</v>
      </c>
      <c r="E52" s="28" t="s">
        <v>38</v>
      </c>
      <c r="F52" s="24">
        <v>2</v>
      </c>
      <c r="G52" s="56">
        <v>0.8</v>
      </c>
      <c r="H52" s="24">
        <v>1</v>
      </c>
      <c r="I52" s="24"/>
      <c r="J52" s="24"/>
      <c r="K52" s="24"/>
      <c r="L52" s="25" t="s">
        <v>213</v>
      </c>
      <c r="M52" s="25" t="s">
        <v>219</v>
      </c>
      <c r="N52" s="24"/>
      <c r="O52" s="24" t="s">
        <v>214</v>
      </c>
      <c r="P52" s="24"/>
      <c r="Q52" s="24"/>
      <c r="R52" s="24"/>
      <c r="S52" s="25" t="s">
        <v>105</v>
      </c>
      <c r="T52" s="53" t="s">
        <v>109</v>
      </c>
      <c r="U52" s="80" t="s">
        <v>215</v>
      </c>
      <c r="V52" s="51" t="s">
        <v>106</v>
      </c>
      <c r="W52" s="78" t="s">
        <v>130</v>
      </c>
      <c r="AB52" s="3"/>
      <c r="AC52" s="3"/>
    </row>
    <row r="53" spans="1:29" ht="11.45" customHeight="1" x14ac:dyDescent="0.2">
      <c r="A53" s="59"/>
      <c r="B53" s="26">
        <v>409</v>
      </c>
      <c r="C53" s="24" t="s">
        <v>33</v>
      </c>
      <c r="D53" s="57" t="s">
        <v>216</v>
      </c>
      <c r="E53" s="28" t="s">
        <v>38</v>
      </c>
      <c r="F53" s="24">
        <v>2</v>
      </c>
      <c r="G53" s="56">
        <v>0.8</v>
      </c>
      <c r="H53" s="24"/>
      <c r="I53" s="24">
        <v>1</v>
      </c>
      <c r="J53" s="24"/>
      <c r="K53" s="24"/>
      <c r="L53" s="25" t="s">
        <v>217</v>
      </c>
      <c r="M53" s="25" t="s">
        <v>218</v>
      </c>
      <c r="N53" s="24"/>
      <c r="O53" s="24" t="s">
        <v>222</v>
      </c>
      <c r="P53" s="24"/>
      <c r="Q53" s="24" t="s">
        <v>88</v>
      </c>
      <c r="R53" s="24"/>
      <c r="S53" s="25" t="s">
        <v>105</v>
      </c>
      <c r="T53" s="53" t="s">
        <v>39</v>
      </c>
      <c r="U53" s="52" t="s">
        <v>114</v>
      </c>
      <c r="V53" s="51" t="s">
        <v>106</v>
      </c>
      <c r="W53" s="78" t="s">
        <v>132</v>
      </c>
      <c r="AB53" s="3"/>
      <c r="AC53" s="3"/>
    </row>
    <row r="54" spans="1:29" ht="11.45" customHeight="1" x14ac:dyDescent="0.2">
      <c r="A54" s="59"/>
      <c r="B54" s="26"/>
      <c r="C54" s="24"/>
      <c r="D54" s="57"/>
      <c r="E54" s="28"/>
      <c r="F54" s="24"/>
      <c r="G54" s="99"/>
      <c r="H54" s="24"/>
      <c r="I54" s="24"/>
      <c r="J54" s="24"/>
      <c r="K54" s="24"/>
      <c r="L54" s="25"/>
      <c r="M54" s="25"/>
      <c r="N54" s="24"/>
      <c r="O54" s="24"/>
      <c r="P54" s="24"/>
      <c r="Q54" s="24"/>
      <c r="R54" s="24"/>
      <c r="S54" s="25"/>
      <c r="T54" s="53"/>
      <c r="U54" s="80"/>
      <c r="V54" s="78"/>
      <c r="W54" s="78"/>
      <c r="AB54" s="3"/>
      <c r="AC54" s="3"/>
    </row>
    <row r="55" spans="1:29" ht="11.45" customHeight="1" x14ac:dyDescent="0.2">
      <c r="A55" s="59"/>
      <c r="B55" s="26"/>
      <c r="C55" s="24"/>
      <c r="D55" s="57"/>
      <c r="E55" s="28"/>
      <c r="F55" s="24"/>
      <c r="G55" s="99"/>
      <c r="H55" s="24"/>
      <c r="I55" s="24"/>
      <c r="J55" s="24"/>
      <c r="K55" s="24"/>
      <c r="L55" s="25"/>
      <c r="M55" s="25"/>
      <c r="N55" s="24"/>
      <c r="O55" s="24"/>
      <c r="P55" s="24"/>
      <c r="Q55" s="24"/>
      <c r="R55" s="24"/>
      <c r="S55" s="25"/>
      <c r="T55" s="53"/>
      <c r="U55" s="80"/>
      <c r="V55" s="78"/>
      <c r="W55" s="78"/>
      <c r="AB55" s="3"/>
      <c r="AC55" s="3"/>
    </row>
    <row r="56" spans="1:29" ht="11.45" customHeight="1" thickBot="1" x14ac:dyDescent="0.25">
      <c r="A56" s="60"/>
      <c r="B56" s="61"/>
      <c r="C56" s="62"/>
      <c r="D56" s="101"/>
      <c r="E56" s="64"/>
      <c r="F56" s="62"/>
      <c r="G56" s="102"/>
      <c r="H56" s="62"/>
      <c r="I56" s="62"/>
      <c r="J56" s="62"/>
      <c r="K56" s="62"/>
      <c r="L56" s="66"/>
      <c r="M56" s="66"/>
      <c r="N56" s="62"/>
      <c r="O56" s="62"/>
      <c r="P56" s="62"/>
      <c r="Q56" s="62"/>
      <c r="R56" s="62"/>
      <c r="S56" s="66"/>
      <c r="T56" s="66"/>
      <c r="U56" s="66"/>
      <c r="V56" s="66"/>
      <c r="W56" s="66"/>
      <c r="AB56" s="3"/>
      <c r="AC56" s="3"/>
    </row>
    <row r="57" spans="1:29" ht="11.45" customHeight="1" thickTop="1" x14ac:dyDescent="0.2">
      <c r="A57" s="103"/>
      <c r="B57" s="104"/>
      <c r="C57" s="104"/>
      <c r="D57" s="105"/>
      <c r="E57" s="106"/>
      <c r="F57" s="104"/>
      <c r="G57" s="112" t="s">
        <v>225</v>
      </c>
      <c r="H57" s="113">
        <f>SUM(H19:H52)</f>
        <v>7</v>
      </c>
      <c r="I57" s="113">
        <f>SUM(I19:I55)</f>
        <v>6</v>
      </c>
      <c r="J57" s="113">
        <f>SUM(J19:J52)</f>
        <v>7</v>
      </c>
      <c r="K57" s="113">
        <f>SUM(K19:K52)</f>
        <v>5</v>
      </c>
      <c r="L57" s="107"/>
      <c r="M57" s="107"/>
      <c r="N57" s="104"/>
      <c r="O57" s="104"/>
      <c r="P57" s="104"/>
      <c r="Q57" s="104"/>
      <c r="R57" s="104"/>
      <c r="S57" s="107"/>
      <c r="T57" s="107"/>
      <c r="U57" s="107"/>
      <c r="V57" s="107"/>
      <c r="W57" s="107"/>
      <c r="AB57" s="3"/>
      <c r="AC57" s="3"/>
    </row>
    <row r="58" spans="1:29" ht="11.45" customHeight="1" x14ac:dyDescent="0.2">
      <c r="A58" s="108"/>
      <c r="B58" s="14"/>
      <c r="C58" s="14"/>
      <c r="D58" s="109"/>
      <c r="E58" s="110"/>
      <c r="F58" s="14"/>
      <c r="G58" s="122" t="s">
        <v>263</v>
      </c>
      <c r="H58" s="14">
        <v>6</v>
      </c>
      <c r="I58" s="14">
        <v>0</v>
      </c>
      <c r="J58" s="14">
        <v>5</v>
      </c>
      <c r="K58" s="14">
        <v>3</v>
      </c>
      <c r="L58" s="13"/>
      <c r="M58" s="13"/>
      <c r="N58" s="14"/>
      <c r="O58" s="14"/>
      <c r="P58" s="14"/>
      <c r="Q58" s="14"/>
      <c r="R58" s="14"/>
      <c r="S58" s="13"/>
      <c r="T58" s="13"/>
      <c r="U58" s="13"/>
      <c r="V58" s="13"/>
      <c r="W58" s="13"/>
      <c r="AB58" s="3"/>
      <c r="AC58" s="3"/>
    </row>
    <row r="59" spans="1:29" ht="11.45" customHeight="1" x14ac:dyDescent="0.2">
      <c r="A59" s="108"/>
      <c r="B59" s="14"/>
      <c r="C59" s="14"/>
      <c r="D59" s="109"/>
      <c r="E59" s="110"/>
      <c r="F59" s="14"/>
      <c r="G59" s="120" t="s">
        <v>264</v>
      </c>
      <c r="H59" s="121">
        <v>0</v>
      </c>
      <c r="I59" s="121">
        <f>I57-I58</f>
        <v>6</v>
      </c>
      <c r="J59" s="121">
        <f>J57-J58</f>
        <v>2</v>
      </c>
      <c r="K59" s="121">
        <f>K57-K58</f>
        <v>2</v>
      </c>
      <c r="L59" s="13"/>
      <c r="M59" s="111"/>
      <c r="N59" s="14"/>
      <c r="O59" s="14"/>
      <c r="P59" s="14"/>
      <c r="Q59" s="14"/>
      <c r="R59" s="14"/>
      <c r="S59" s="13"/>
      <c r="T59" s="13"/>
      <c r="U59" s="13"/>
      <c r="V59" s="13"/>
      <c r="W59" s="13"/>
      <c r="AB59" s="3"/>
      <c r="AC59" s="3"/>
    </row>
    <row r="60" spans="1:29" s="3" customFormat="1" x14ac:dyDescent="0.2">
      <c r="B60" s="4"/>
      <c r="C60" s="4"/>
      <c r="E60" s="4"/>
      <c r="F60" s="4"/>
      <c r="G60" s="4"/>
      <c r="H60" s="4"/>
      <c r="I60" s="4"/>
      <c r="J60" s="4"/>
      <c r="K60" s="4"/>
      <c r="N60" s="4"/>
      <c r="O60" s="4"/>
      <c r="P60" s="4"/>
      <c r="Q60" s="4"/>
      <c r="R60" s="4"/>
    </row>
    <row r="61" spans="1:29" s="3" customFormat="1" x14ac:dyDescent="0.2">
      <c r="B61" s="4"/>
      <c r="C61" s="4"/>
      <c r="E61" s="4"/>
      <c r="F61" s="4"/>
      <c r="G61" s="4"/>
      <c r="H61" s="4"/>
      <c r="I61" s="4"/>
      <c r="J61" s="4"/>
      <c r="K61" s="4"/>
      <c r="N61" s="4"/>
      <c r="O61" s="4"/>
      <c r="P61" s="4"/>
      <c r="Q61" s="4"/>
      <c r="R61" s="4"/>
    </row>
    <row r="62" spans="1:29" s="3" customFormat="1" x14ac:dyDescent="0.2">
      <c r="B62" s="4"/>
      <c r="C62" s="4"/>
      <c r="E62" s="4"/>
      <c r="F62" s="4"/>
      <c r="G62" s="4"/>
      <c r="H62" s="4"/>
      <c r="I62" s="4"/>
      <c r="J62" s="4"/>
      <c r="K62" s="4"/>
      <c r="N62" s="4"/>
      <c r="O62" s="4"/>
      <c r="P62" s="4"/>
      <c r="Q62" s="4"/>
      <c r="R62" s="4"/>
    </row>
    <row r="63" spans="1:29" s="3" customFormat="1" x14ac:dyDescent="0.2">
      <c r="B63" s="4"/>
      <c r="C63" s="4"/>
      <c r="E63" s="4"/>
      <c r="F63" s="4"/>
      <c r="G63" s="4"/>
      <c r="H63" s="4"/>
      <c r="I63" s="4"/>
      <c r="J63" s="4"/>
      <c r="K63" s="4"/>
      <c r="N63" s="4"/>
      <c r="O63" s="4"/>
      <c r="P63" s="4"/>
      <c r="Q63" s="4"/>
      <c r="R63" s="4"/>
    </row>
    <row r="64" spans="1:29" s="3" customFormat="1" x14ac:dyDescent="0.2">
      <c r="B64" s="4"/>
      <c r="C64" s="4"/>
      <c r="E64" s="4"/>
      <c r="F64" s="4"/>
      <c r="G64" s="4"/>
      <c r="H64" s="4"/>
      <c r="I64" s="4"/>
      <c r="J64" s="4"/>
      <c r="K64" s="4"/>
      <c r="N64" s="4"/>
      <c r="O64" s="4"/>
      <c r="P64" s="4"/>
      <c r="Q64" s="4"/>
      <c r="R64" s="4"/>
    </row>
    <row r="65" spans="2:18" s="3" customFormat="1" x14ac:dyDescent="0.2">
      <c r="B65" s="4"/>
      <c r="C65" s="4"/>
      <c r="E65" s="4"/>
      <c r="F65" s="4"/>
      <c r="G65" s="4"/>
      <c r="H65" s="4"/>
      <c r="I65" s="4"/>
      <c r="J65" s="4"/>
      <c r="K65" s="4"/>
      <c r="N65" s="4"/>
      <c r="O65" s="4"/>
      <c r="P65" s="4"/>
      <c r="Q65" s="4"/>
      <c r="R65" s="4"/>
    </row>
    <row r="66" spans="2:18" s="3" customFormat="1" x14ac:dyDescent="0.2">
      <c r="B66" s="4"/>
      <c r="C66" s="4"/>
      <c r="E66" s="4"/>
      <c r="F66" s="4"/>
      <c r="G66" s="4"/>
      <c r="H66" s="4"/>
      <c r="I66" s="4"/>
      <c r="J66" s="4"/>
      <c r="K66" s="4"/>
      <c r="N66" s="4"/>
      <c r="O66" s="4"/>
      <c r="P66" s="4"/>
      <c r="Q66" s="4"/>
      <c r="R66" s="4"/>
    </row>
    <row r="315" spans="1:11" x14ac:dyDescent="0.2">
      <c r="A315" s="18"/>
      <c r="B315" s="19"/>
      <c r="C315" s="19"/>
      <c r="D315" s="18"/>
      <c r="E315" s="19"/>
      <c r="F315" s="19"/>
      <c r="G315" s="19"/>
      <c r="H315" s="19"/>
      <c r="I315" s="19"/>
      <c r="J315" s="19"/>
      <c r="K315" s="19"/>
    </row>
    <row r="316" spans="1:11" x14ac:dyDescent="0.2">
      <c r="A316" s="18"/>
      <c r="B316" s="19"/>
      <c r="C316" s="19"/>
      <c r="D316" s="18"/>
      <c r="E316" s="19"/>
      <c r="F316" s="19"/>
      <c r="G316" s="19"/>
      <c r="H316" s="19"/>
      <c r="I316" s="19"/>
      <c r="J316" s="19"/>
      <c r="K316" s="19"/>
    </row>
    <row r="317" spans="1:11" x14ac:dyDescent="0.2">
      <c r="A317" s="8"/>
      <c r="B317" s="9"/>
      <c r="C317" s="9"/>
      <c r="D317" s="8"/>
      <c r="E317" s="9"/>
      <c r="F317" s="9"/>
      <c r="G317" s="9"/>
      <c r="H317" s="9"/>
      <c r="I317" s="9"/>
      <c r="J317" s="9"/>
      <c r="K317" s="9"/>
    </row>
    <row r="318" spans="1:11" x14ac:dyDescent="0.2">
      <c r="A318" s="8"/>
      <c r="B318" s="9"/>
      <c r="C318" s="9"/>
      <c r="D318" s="8"/>
      <c r="E318" s="9"/>
      <c r="F318" s="9"/>
      <c r="G318" s="9"/>
      <c r="H318" s="9"/>
      <c r="I318" s="9"/>
      <c r="J318" s="9"/>
      <c r="K318" s="9"/>
    </row>
    <row r="319" spans="1:11" x14ac:dyDescent="0.2">
      <c r="A319" s="5" t="s">
        <v>34</v>
      </c>
      <c r="B319" s="11" t="s">
        <v>41</v>
      </c>
      <c r="C319" s="6" t="s">
        <v>42</v>
      </c>
      <c r="D319" s="9" t="s">
        <v>43</v>
      </c>
      <c r="E319" s="7" t="s">
        <v>44</v>
      </c>
      <c r="F319" s="9"/>
      <c r="G319" s="9"/>
      <c r="H319" s="9"/>
      <c r="I319" s="9"/>
      <c r="J319" s="9"/>
      <c r="K319" s="9"/>
    </row>
    <row r="320" spans="1:11" x14ac:dyDescent="0.2">
      <c r="A320" s="5" t="s">
        <v>45</v>
      </c>
      <c r="B320" s="11" t="s">
        <v>46</v>
      </c>
      <c r="C320" s="6" t="s">
        <v>47</v>
      </c>
      <c r="D320" s="6" t="s">
        <v>48</v>
      </c>
      <c r="E320" s="7" t="s">
        <v>49</v>
      </c>
      <c r="F320" s="9"/>
      <c r="G320" s="9"/>
      <c r="H320" s="9"/>
      <c r="I320" s="9"/>
      <c r="J320" s="9"/>
      <c r="K320" s="9"/>
    </row>
    <row r="321" spans="1:11" x14ac:dyDescent="0.2">
      <c r="A321" s="5" t="s">
        <v>33</v>
      </c>
      <c r="B321" s="12" t="s">
        <v>50</v>
      </c>
      <c r="C321" s="9" t="s">
        <v>51</v>
      </c>
      <c r="D321" s="6" t="s">
        <v>35</v>
      </c>
      <c r="E321" s="7" t="s">
        <v>52</v>
      </c>
      <c r="F321" s="9"/>
      <c r="G321" s="9"/>
      <c r="H321" s="9"/>
      <c r="I321" s="9"/>
      <c r="J321" s="9"/>
      <c r="K321" s="9"/>
    </row>
    <row r="322" spans="1:11" x14ac:dyDescent="0.2">
      <c r="A322" s="5" t="s">
        <v>37</v>
      </c>
      <c r="B322" s="11" t="s">
        <v>53</v>
      </c>
      <c r="C322" s="6" t="s">
        <v>54</v>
      </c>
      <c r="D322" s="6" t="s">
        <v>55</v>
      </c>
      <c r="E322" s="7" t="s">
        <v>56</v>
      </c>
      <c r="F322" s="9"/>
      <c r="G322" s="9"/>
      <c r="H322" s="9"/>
      <c r="I322" s="9"/>
      <c r="J322" s="9"/>
      <c r="K322" s="9"/>
    </row>
    <row r="323" spans="1:11" x14ac:dyDescent="0.2">
      <c r="A323" s="5" t="s">
        <v>57</v>
      </c>
      <c r="B323" s="12" t="s">
        <v>58</v>
      </c>
      <c r="C323" s="6" t="s">
        <v>59</v>
      </c>
      <c r="D323" s="6" t="s">
        <v>60</v>
      </c>
      <c r="E323" s="7" t="s">
        <v>61</v>
      </c>
      <c r="F323" s="9"/>
      <c r="G323" s="9"/>
      <c r="H323" s="9"/>
      <c r="I323" s="9"/>
      <c r="J323" s="9"/>
      <c r="K323" s="9"/>
    </row>
    <row r="324" spans="1:11" x14ac:dyDescent="0.2">
      <c r="A324" s="5" t="s">
        <v>62</v>
      </c>
      <c r="B324" s="11" t="s">
        <v>38</v>
      </c>
      <c r="C324" s="6" t="s">
        <v>63</v>
      </c>
      <c r="D324" s="8"/>
      <c r="E324" s="7" t="s">
        <v>64</v>
      </c>
      <c r="F324" s="9"/>
      <c r="G324" s="9"/>
      <c r="H324" s="9"/>
      <c r="I324" s="9"/>
      <c r="J324" s="9"/>
      <c r="K324" s="9"/>
    </row>
    <row r="325" spans="1:11" x14ac:dyDescent="0.2">
      <c r="A325" s="5" t="s">
        <v>65</v>
      </c>
      <c r="B325" s="11" t="s">
        <v>40</v>
      </c>
      <c r="C325" s="6" t="s">
        <v>66</v>
      </c>
      <c r="D325" s="8"/>
      <c r="E325" s="10">
        <v>2.2999999999999998</v>
      </c>
      <c r="F325" s="9"/>
      <c r="G325" s="9"/>
      <c r="H325" s="9"/>
      <c r="I325" s="9"/>
      <c r="J325" s="9"/>
      <c r="K325" s="9"/>
    </row>
    <row r="326" spans="1:11" x14ac:dyDescent="0.2">
      <c r="A326" s="5" t="s">
        <v>67</v>
      </c>
      <c r="B326" s="9"/>
      <c r="C326" s="6" t="s">
        <v>68</v>
      </c>
      <c r="D326" s="8"/>
      <c r="E326" s="10">
        <v>7.8</v>
      </c>
      <c r="F326" s="9"/>
      <c r="G326" s="9"/>
      <c r="H326" s="9"/>
      <c r="I326" s="9"/>
      <c r="J326" s="9"/>
      <c r="K326" s="9"/>
    </row>
    <row r="327" spans="1:11" x14ac:dyDescent="0.2">
      <c r="A327" s="5" t="s">
        <v>69</v>
      </c>
      <c r="B327" s="9"/>
      <c r="C327" s="6" t="s">
        <v>70</v>
      </c>
      <c r="D327" s="8"/>
      <c r="E327" s="9"/>
      <c r="F327" s="9"/>
      <c r="G327" s="9"/>
      <c r="H327" s="9"/>
      <c r="I327" s="9"/>
      <c r="J327" s="9"/>
      <c r="K327" s="9"/>
    </row>
    <row r="328" spans="1:11" x14ac:dyDescent="0.2">
      <c r="A328" s="5" t="s">
        <v>71</v>
      </c>
      <c r="B328" s="9"/>
      <c r="C328" s="6" t="s">
        <v>72</v>
      </c>
      <c r="D328" s="8"/>
      <c r="E328" s="9"/>
      <c r="F328" s="9"/>
      <c r="G328" s="9"/>
      <c r="H328" s="9"/>
      <c r="I328" s="9"/>
      <c r="J328" s="9"/>
      <c r="K328" s="9"/>
    </row>
    <row r="329" spans="1:11" x14ac:dyDescent="0.2">
      <c r="A329" s="8"/>
      <c r="B329" s="9"/>
      <c r="C329" s="6" t="s">
        <v>73</v>
      </c>
      <c r="D329" s="8"/>
      <c r="E329" s="8"/>
      <c r="F329" s="9"/>
      <c r="G329" s="9"/>
      <c r="H329" s="9"/>
      <c r="I329" s="9"/>
      <c r="J329" s="9"/>
      <c r="K329" s="9"/>
    </row>
    <row r="330" spans="1:11" x14ac:dyDescent="0.2">
      <c r="A330" s="8"/>
      <c r="B330" s="9"/>
      <c r="C330" s="6" t="s">
        <v>74</v>
      </c>
      <c r="D330" s="8"/>
      <c r="E330" s="8"/>
      <c r="F330" s="9"/>
      <c r="G330" s="9"/>
      <c r="H330" s="9"/>
      <c r="I330" s="9"/>
      <c r="J330" s="9"/>
      <c r="K330" s="9"/>
    </row>
    <row r="331" spans="1:11" x14ac:dyDescent="0.2">
      <c r="A331" s="8"/>
      <c r="B331" s="9"/>
      <c r="C331" s="6" t="s">
        <v>75</v>
      </c>
      <c r="D331" s="8"/>
      <c r="E331" s="8"/>
      <c r="F331" s="9"/>
      <c r="G331" s="9"/>
      <c r="H331" s="9"/>
      <c r="I331" s="9"/>
      <c r="J331" s="9"/>
      <c r="K331" s="9"/>
    </row>
    <row r="332" spans="1:11" x14ac:dyDescent="0.2">
      <c r="A332" s="8"/>
      <c r="B332" s="9"/>
      <c r="C332" s="6" t="s">
        <v>76</v>
      </c>
      <c r="D332" s="8"/>
      <c r="E332" s="8"/>
      <c r="F332" s="9"/>
      <c r="G332" s="9"/>
      <c r="H332" s="9"/>
      <c r="I332" s="9"/>
      <c r="J332" s="9"/>
      <c r="K332" s="9"/>
    </row>
    <row r="333" spans="1:11" x14ac:dyDescent="0.2">
      <c r="A333" s="8"/>
      <c r="B333" s="9"/>
      <c r="C333" s="6" t="s">
        <v>77</v>
      </c>
      <c r="D333" s="8"/>
      <c r="E333" s="8"/>
      <c r="F333" s="9"/>
      <c r="G333" s="9"/>
      <c r="H333" s="9"/>
      <c r="I333" s="9"/>
      <c r="J333" s="9"/>
      <c r="K333" s="9"/>
    </row>
    <row r="334" spans="1:11" x14ac:dyDescent="0.2">
      <c r="A334" s="8"/>
      <c r="B334" s="9"/>
      <c r="C334" s="6" t="s">
        <v>78</v>
      </c>
      <c r="D334" s="8"/>
      <c r="E334" s="8"/>
      <c r="F334" s="9"/>
      <c r="G334" s="9"/>
      <c r="H334" s="9"/>
      <c r="I334" s="9"/>
      <c r="J334" s="9"/>
      <c r="K334" s="9"/>
    </row>
    <row r="335" spans="1:11" x14ac:dyDescent="0.2">
      <c r="A335" s="8"/>
      <c r="B335" s="9"/>
      <c r="C335" s="6" t="s">
        <v>79</v>
      </c>
      <c r="D335" s="8"/>
      <c r="E335" s="8"/>
      <c r="F335" s="9"/>
      <c r="G335" s="9"/>
      <c r="H335" s="9"/>
      <c r="I335" s="9"/>
      <c r="J335" s="9"/>
      <c r="K335" s="9"/>
    </row>
    <row r="336" spans="1:11" x14ac:dyDescent="0.2">
      <c r="A336" s="8"/>
      <c r="B336" s="9"/>
      <c r="C336" s="6" t="s">
        <v>80</v>
      </c>
      <c r="D336" s="8"/>
      <c r="E336" s="8"/>
      <c r="F336" s="9"/>
      <c r="G336" s="9"/>
      <c r="H336" s="9"/>
      <c r="I336" s="9"/>
      <c r="J336" s="9"/>
      <c r="K336" s="9"/>
    </row>
    <row r="337" spans="1:11" x14ac:dyDescent="0.2">
      <c r="A337" s="8"/>
      <c r="B337" s="9"/>
      <c r="C337" s="6" t="s">
        <v>81</v>
      </c>
      <c r="D337" s="8"/>
      <c r="E337" s="9"/>
      <c r="F337" s="9"/>
      <c r="G337" s="9"/>
      <c r="H337" s="9"/>
      <c r="I337" s="9"/>
      <c r="J337" s="9"/>
      <c r="K337" s="9"/>
    </row>
    <row r="338" spans="1:11" x14ac:dyDescent="0.2">
      <c r="A338" s="8"/>
      <c r="B338" s="9"/>
      <c r="C338" s="6" t="s">
        <v>82</v>
      </c>
      <c r="D338" s="8"/>
      <c r="E338" s="9"/>
      <c r="F338" s="9"/>
      <c r="G338" s="9"/>
      <c r="H338" s="9"/>
      <c r="I338" s="9"/>
      <c r="J338" s="9"/>
      <c r="K338" s="9"/>
    </row>
    <row r="339" spans="1:11" x14ac:dyDescent="0.2">
      <c r="A339" s="8"/>
      <c r="B339" s="9"/>
      <c r="C339" s="6" t="s">
        <v>83</v>
      </c>
      <c r="D339" s="8"/>
      <c r="E339" s="9"/>
      <c r="F339" s="9"/>
      <c r="G339" s="9"/>
      <c r="H339" s="9"/>
      <c r="I339" s="9"/>
      <c r="J339" s="9"/>
      <c r="K339" s="9"/>
    </row>
    <row r="340" spans="1:11" x14ac:dyDescent="0.2">
      <c r="A340" s="8"/>
      <c r="B340" s="9"/>
      <c r="C340" s="9"/>
      <c r="D340" s="8"/>
      <c r="E340" s="9"/>
      <c r="F340" s="9"/>
      <c r="G340" s="9"/>
      <c r="H340" s="9"/>
      <c r="I340" s="9"/>
      <c r="J340" s="9"/>
      <c r="K340" s="9"/>
    </row>
    <row r="341" spans="1:11" x14ac:dyDescent="0.2">
      <c r="A341" s="18"/>
      <c r="B341" s="19"/>
      <c r="C341" s="19"/>
      <c r="D341" s="18"/>
      <c r="E341" s="19"/>
      <c r="F341" s="19"/>
      <c r="G341" s="19"/>
      <c r="H341" s="19"/>
      <c r="I341" s="19"/>
      <c r="J341" s="19"/>
      <c r="K341" s="19"/>
    </row>
    <row r="342" spans="1:11" x14ac:dyDescent="0.2">
      <c r="A342" s="3"/>
      <c r="B342" s="4"/>
      <c r="D342" s="3"/>
      <c r="E342" s="4"/>
      <c r="F342" s="4"/>
      <c r="G342" s="4"/>
      <c r="H342" s="4"/>
      <c r="I342" s="4"/>
      <c r="J342" s="4"/>
      <c r="K342" s="4"/>
    </row>
    <row r="343" spans="1:11" x14ac:dyDescent="0.2">
      <c r="A343" s="3"/>
      <c r="B343" s="4"/>
      <c r="D343" s="3"/>
      <c r="E343" s="4"/>
      <c r="F343" s="4"/>
      <c r="G343" s="4"/>
      <c r="H343" s="4"/>
      <c r="I343" s="4"/>
      <c r="J343" s="4"/>
      <c r="K343" s="4"/>
    </row>
  </sheetData>
  <mergeCells count="11">
    <mergeCell ref="N15:Q15"/>
    <mergeCell ref="C4:F4"/>
    <mergeCell ref="L1:M3"/>
    <mergeCell ref="H16:H17"/>
    <mergeCell ref="I16:I17"/>
    <mergeCell ref="J16:J17"/>
    <mergeCell ref="K16:K17"/>
    <mergeCell ref="L7:M9"/>
    <mergeCell ref="C10:F10"/>
    <mergeCell ref="D15:I15"/>
    <mergeCell ref="J15:M15"/>
  </mergeCells>
  <phoneticPr fontId="0" type="noConversion"/>
  <dataValidations xWindow="245" yWindow="307" count="5">
    <dataValidation type="list" allowBlank="1" showInputMessage="1" sqref="C19:C59" xr:uid="{00000000-0002-0000-0000-000000000000}">
      <formula1>$A$319:$A$328</formula1>
    </dataValidation>
    <dataValidation type="list" allowBlank="1" showInputMessage="1" sqref="M18:M59" xr:uid="{00000000-0002-0000-0000-000003000000}">
      <formula1>$E$319:$E$326</formula1>
    </dataValidation>
    <dataValidation type="list" allowBlank="1" showInputMessage="1" sqref="E18:E59" xr:uid="{00000000-0002-0000-0000-000001000000}">
      <formula1>$B$319:$B$325</formula1>
    </dataValidation>
    <dataValidation type="list" allowBlank="1" showInputMessage="1" sqref="N18:N59" xr:uid="{00000000-0002-0000-0000-000002000000}">
      <formula1>$D$319:$D$323</formula1>
    </dataValidation>
    <dataValidation type="list" allowBlank="1" showInputMessage="1" sqref="F18:K20" xr:uid="{00000000-0002-0000-0000-000004000000}">
      <formula1>$C$319:$C$339</formula1>
    </dataValidation>
  </dataValidations>
  <pageMargins left="0.31496062992125984" right="0.23622047244094491" top="0.86614173228346458" bottom="0.70866141732283472" header="0.59055118110236227" footer="0.51181102362204722"/>
  <pageSetup paperSize="8" scale="65" orientation="landscape" horizontalDpi="300" verticalDpi="300" r:id="rId1"/>
  <headerFooter alignWithMargins="0">
    <oddFooter>&amp;C&amp;8 &amp;P van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1C6B-6D93-4C35-913A-4104FAA81909}">
  <dimension ref="A1:AB338"/>
  <sheetViews>
    <sheetView zoomScale="150" zoomScaleNormal="150" workbookViewId="0">
      <selection activeCell="B9" sqref="B9:G9"/>
    </sheetView>
  </sheetViews>
  <sheetFormatPr defaultRowHeight="12.75" x14ac:dyDescent="0.2"/>
  <cols>
    <col min="1" max="1" width="5.7109375" customWidth="1"/>
    <col min="2" max="2" width="6.5703125" style="2" customWidth="1"/>
    <col min="3" max="3" width="7.28515625" style="2" bestFit="1" customWidth="1"/>
    <col min="4" max="4" width="18.28515625" customWidth="1"/>
    <col min="5" max="5" width="12.85546875" style="2" customWidth="1"/>
    <col min="6" max="6" width="10.7109375" style="2" bestFit="1" customWidth="1"/>
    <col min="7" max="7" width="10.7109375" style="2" customWidth="1"/>
    <col min="8" max="11" width="4.7109375" style="2" customWidth="1"/>
    <col min="12" max="12" width="32" customWidth="1"/>
    <col min="13" max="13" width="17.28515625" customWidth="1"/>
    <col min="14" max="14" width="4.7109375" style="2" customWidth="1"/>
    <col min="15" max="15" width="10.28515625" style="2" bestFit="1" customWidth="1"/>
    <col min="16" max="18" width="7.85546875" style="2" customWidth="1"/>
    <col min="19" max="19" width="22" customWidth="1"/>
    <col min="20" max="20" width="27.42578125" customWidth="1"/>
    <col min="21" max="21" width="44.85546875" customWidth="1"/>
    <col min="22" max="22" width="19.140625" customWidth="1"/>
    <col min="26" max="26" width="11.140625" customWidth="1"/>
  </cols>
  <sheetData>
    <row r="1" spans="1:28" ht="13.15" customHeight="1" x14ac:dyDescent="0.2">
      <c r="L1" s="136" t="s">
        <v>0</v>
      </c>
      <c r="M1" s="137"/>
    </row>
    <row r="2" spans="1:28" ht="13.15" customHeight="1" x14ac:dyDescent="0.2">
      <c r="L2" s="136"/>
      <c r="M2" s="137"/>
    </row>
    <row r="3" spans="1:28" ht="13.15" customHeight="1" x14ac:dyDescent="0.2">
      <c r="A3" s="13"/>
      <c r="B3" s="14"/>
      <c r="C3" s="14"/>
      <c r="D3" s="13"/>
      <c r="E3" s="14"/>
      <c r="F3" s="14"/>
      <c r="G3" s="14"/>
      <c r="H3" s="14"/>
      <c r="I3" s="14"/>
      <c r="J3" s="14"/>
      <c r="K3" s="14"/>
      <c r="L3" s="136"/>
      <c r="M3" s="137"/>
      <c r="N3" s="15"/>
      <c r="O3" s="14"/>
      <c r="P3" s="14"/>
      <c r="Q3" s="14"/>
      <c r="R3" s="14"/>
      <c r="S3" s="14"/>
      <c r="T3" s="14"/>
      <c r="U3" s="14"/>
      <c r="V3" s="14"/>
    </row>
    <row r="4" spans="1:28" ht="11.45" customHeight="1" x14ac:dyDescent="0.2">
      <c r="A4" s="16" t="s">
        <v>1</v>
      </c>
      <c r="B4" s="15"/>
      <c r="C4" s="134" t="s">
        <v>94</v>
      </c>
      <c r="D4" s="135"/>
      <c r="E4" s="135"/>
      <c r="F4" s="135"/>
      <c r="G4" s="15"/>
      <c r="H4" s="15"/>
      <c r="I4" s="15"/>
      <c r="J4" s="15"/>
      <c r="K4" s="15"/>
      <c r="L4" s="17" t="s">
        <v>2</v>
      </c>
      <c r="M4" s="20" t="s">
        <v>96</v>
      </c>
      <c r="N4" s="15"/>
      <c r="O4" s="17" t="s">
        <v>3</v>
      </c>
      <c r="P4" s="17" t="s">
        <v>97</v>
      </c>
      <c r="Q4" s="17"/>
      <c r="R4" s="17"/>
      <c r="S4" s="13"/>
      <c r="T4" s="13"/>
      <c r="U4" s="13"/>
      <c r="V4" s="13"/>
    </row>
    <row r="5" spans="1:28" ht="11.45" customHeight="1" x14ac:dyDescent="0.2">
      <c r="A5" s="13"/>
      <c r="B5" s="14"/>
      <c r="C5" s="16"/>
      <c r="D5" s="13"/>
      <c r="E5" s="14"/>
      <c r="F5" s="14"/>
      <c r="G5" s="14"/>
      <c r="H5" s="14"/>
      <c r="I5" s="14"/>
      <c r="J5" s="14"/>
      <c r="K5" s="14"/>
      <c r="L5" s="17"/>
      <c r="M5" s="16"/>
      <c r="N5" s="15"/>
      <c r="O5" s="17" t="s">
        <v>4</v>
      </c>
      <c r="P5" s="17"/>
      <c r="Q5" s="17"/>
      <c r="R5" s="17"/>
      <c r="S5" s="13"/>
      <c r="T5" s="13"/>
      <c r="U5" s="13"/>
      <c r="V5" s="13"/>
    </row>
    <row r="6" spans="1:28" ht="11.45" customHeight="1" x14ac:dyDescent="0.2">
      <c r="A6" s="16" t="s">
        <v>269</v>
      </c>
      <c r="B6" s="14"/>
      <c r="C6" s="30" t="s">
        <v>270</v>
      </c>
      <c r="D6" s="13"/>
      <c r="E6" s="55"/>
      <c r="F6" s="14"/>
      <c r="G6" s="14"/>
      <c r="H6" s="14"/>
      <c r="I6" s="14"/>
      <c r="J6" s="14"/>
      <c r="K6" s="14"/>
      <c r="L6" s="17" t="s">
        <v>5</v>
      </c>
      <c r="M6" s="21">
        <v>46180</v>
      </c>
      <c r="N6" s="14" t="s">
        <v>6</v>
      </c>
      <c r="O6" s="17" t="s">
        <v>7</v>
      </c>
      <c r="P6" s="17"/>
      <c r="Q6" s="17"/>
      <c r="R6" s="17"/>
      <c r="S6" s="13"/>
      <c r="T6" s="13"/>
      <c r="U6" s="13"/>
      <c r="V6" s="13"/>
    </row>
    <row r="7" spans="1:28" ht="11.45" customHeight="1" x14ac:dyDescent="0.2">
      <c r="C7" s="50"/>
      <c r="L7" s="54" t="s">
        <v>271</v>
      </c>
    </row>
    <row r="8" spans="1:28" ht="11.45" customHeight="1" thickBot="1" x14ac:dyDescent="0.25">
      <c r="A8" s="13"/>
      <c r="B8" s="14"/>
      <c r="C8" s="14"/>
      <c r="D8" s="13"/>
      <c r="E8" s="14"/>
      <c r="F8" s="14"/>
      <c r="G8" s="14"/>
      <c r="H8" s="14"/>
      <c r="I8" s="14"/>
      <c r="J8" s="14"/>
      <c r="K8" s="14"/>
      <c r="L8" s="17" t="s">
        <v>6</v>
      </c>
      <c r="M8" s="13"/>
      <c r="N8" s="14"/>
      <c r="O8" s="14"/>
      <c r="P8" s="14"/>
      <c r="Q8" s="14"/>
      <c r="R8" s="14"/>
      <c r="S8" s="13"/>
      <c r="T8" s="13"/>
      <c r="U8" s="13"/>
      <c r="V8" s="13"/>
    </row>
    <row r="9" spans="1:28" ht="11.45" customHeight="1" x14ac:dyDescent="0.2">
      <c r="A9" s="27"/>
      <c r="B9" s="140" t="s">
        <v>8</v>
      </c>
      <c r="C9" s="141"/>
      <c r="D9" s="141"/>
      <c r="E9" s="141"/>
      <c r="F9" s="141"/>
      <c r="G9" s="142"/>
      <c r="H9" s="143" t="s">
        <v>101</v>
      </c>
      <c r="I9" s="144"/>
      <c r="J9" s="144"/>
      <c r="K9" s="145"/>
      <c r="L9" s="132" t="s">
        <v>9</v>
      </c>
      <c r="M9" s="133"/>
      <c r="N9" s="133"/>
      <c r="O9" s="133"/>
      <c r="P9" s="23"/>
      <c r="Q9" s="23"/>
      <c r="R9" s="23"/>
      <c r="S9" s="22" t="s">
        <v>6</v>
      </c>
      <c r="T9" s="22" t="s">
        <v>6</v>
      </c>
      <c r="U9" s="22" t="s">
        <v>6</v>
      </c>
      <c r="V9" s="22" t="s">
        <v>6</v>
      </c>
      <c r="W9" s="3"/>
      <c r="X9" s="3"/>
      <c r="Y9" s="3"/>
      <c r="Z9" s="3"/>
      <c r="AA9" s="3"/>
      <c r="AB9" s="3"/>
    </row>
    <row r="10" spans="1:28" s="1" customFormat="1" ht="11.45" customHeight="1" thickBot="1" x14ac:dyDescent="0.25">
      <c r="A10" s="31" t="s">
        <v>10</v>
      </c>
      <c r="B10" s="32" t="s">
        <v>11</v>
      </c>
      <c r="C10" s="33" t="s">
        <v>12</v>
      </c>
      <c r="D10" s="33" t="s">
        <v>13</v>
      </c>
      <c r="E10" s="33" t="s">
        <v>10</v>
      </c>
      <c r="F10" s="34" t="s">
        <v>14</v>
      </c>
      <c r="G10" s="35" t="s">
        <v>15</v>
      </c>
      <c r="H10" s="138" t="s">
        <v>102</v>
      </c>
      <c r="I10" s="138" t="s">
        <v>100</v>
      </c>
      <c r="J10" s="138" t="s">
        <v>89</v>
      </c>
      <c r="K10" s="138" t="s">
        <v>36</v>
      </c>
      <c r="L10" s="36" t="s">
        <v>16</v>
      </c>
      <c r="M10" s="37" t="s">
        <v>13</v>
      </c>
      <c r="N10" s="37" t="s">
        <v>17</v>
      </c>
      <c r="O10" s="37" t="s">
        <v>18</v>
      </c>
      <c r="P10" s="38" t="s">
        <v>19</v>
      </c>
      <c r="Q10" s="38" t="s">
        <v>20</v>
      </c>
      <c r="R10" s="39" t="s">
        <v>21</v>
      </c>
      <c r="S10" s="40" t="s">
        <v>22</v>
      </c>
      <c r="T10" s="41" t="s">
        <v>235</v>
      </c>
      <c r="U10" s="41" t="s">
        <v>244</v>
      </c>
      <c r="V10" s="41" t="s">
        <v>85</v>
      </c>
    </row>
    <row r="11" spans="1:28" s="1" customFormat="1" ht="11.45" customHeight="1" thickBot="1" x14ac:dyDescent="0.25">
      <c r="A11" s="42" t="s">
        <v>23</v>
      </c>
      <c r="B11" s="43" t="s">
        <v>23</v>
      </c>
      <c r="C11" s="44" t="s">
        <v>24</v>
      </c>
      <c r="D11" s="44" t="s">
        <v>23</v>
      </c>
      <c r="E11" s="44" t="s">
        <v>25</v>
      </c>
      <c r="F11" s="44" t="s">
        <v>26</v>
      </c>
      <c r="G11" s="35" t="s">
        <v>27</v>
      </c>
      <c r="H11" s="139"/>
      <c r="I11" s="139"/>
      <c r="J11" s="139"/>
      <c r="K11" s="139"/>
      <c r="L11" s="45"/>
      <c r="M11" s="46" t="s">
        <v>28</v>
      </c>
      <c r="N11" s="46"/>
      <c r="O11" s="46" t="s">
        <v>29</v>
      </c>
      <c r="P11" s="47" t="s">
        <v>30</v>
      </c>
      <c r="Q11" s="47" t="s">
        <v>31</v>
      </c>
      <c r="R11" s="48" t="s">
        <v>32</v>
      </c>
      <c r="S11" s="49"/>
      <c r="T11" s="49" t="s">
        <v>243</v>
      </c>
      <c r="U11" s="49" t="s">
        <v>243</v>
      </c>
      <c r="V11" s="49" t="s">
        <v>86</v>
      </c>
    </row>
    <row r="12" spans="1:28" ht="11.45" customHeight="1" thickBot="1" x14ac:dyDescent="0.25">
      <c r="A12" s="60"/>
      <c r="B12" s="61"/>
      <c r="C12" s="62"/>
      <c r="D12" s="63"/>
      <c r="E12" s="64"/>
      <c r="F12" s="62"/>
      <c r="G12" s="62"/>
      <c r="H12" s="65"/>
      <c r="I12" s="65"/>
      <c r="J12" s="65"/>
      <c r="K12" s="65"/>
      <c r="L12" s="66"/>
      <c r="M12" s="63"/>
      <c r="N12" s="62"/>
      <c r="O12" s="62"/>
      <c r="P12" s="62"/>
      <c r="Q12" s="62"/>
      <c r="R12" s="62"/>
      <c r="S12" s="66"/>
      <c r="T12" s="63" t="s">
        <v>39</v>
      </c>
      <c r="U12" s="66"/>
      <c r="V12" s="63"/>
      <c r="AA12" s="3"/>
      <c r="AB12" s="3"/>
    </row>
    <row r="13" spans="1:28" ht="11.45" customHeight="1" thickTop="1" x14ac:dyDescent="0.2">
      <c r="A13" s="67"/>
      <c r="B13" s="68"/>
      <c r="C13" s="69"/>
      <c r="D13" s="70"/>
      <c r="E13" s="71"/>
      <c r="F13" s="69"/>
      <c r="G13" s="75"/>
      <c r="H13" s="69"/>
      <c r="I13" s="69"/>
      <c r="J13" s="69"/>
      <c r="K13" s="69"/>
      <c r="L13" s="76" t="s">
        <v>227</v>
      </c>
      <c r="M13" s="77"/>
      <c r="N13" s="69"/>
      <c r="O13" s="69"/>
      <c r="P13" s="69"/>
      <c r="Q13" s="69"/>
      <c r="R13" s="69"/>
      <c r="S13" s="72"/>
      <c r="T13" s="73"/>
      <c r="U13" s="72"/>
      <c r="V13" s="72"/>
      <c r="AA13" s="3"/>
      <c r="AB13" s="3"/>
    </row>
    <row r="14" spans="1:28" ht="11.45" customHeight="1" x14ac:dyDescent="0.2">
      <c r="A14" s="59"/>
      <c r="B14" s="26"/>
      <c r="C14" s="24"/>
      <c r="D14" s="57"/>
      <c r="E14" s="28"/>
      <c r="F14" s="24"/>
      <c r="G14" s="56"/>
      <c r="H14" s="24"/>
      <c r="I14" s="24"/>
      <c r="J14" s="24"/>
      <c r="K14" s="24"/>
      <c r="L14" s="25"/>
      <c r="M14" s="25"/>
      <c r="N14" s="24"/>
      <c r="O14" s="24"/>
      <c r="P14" s="24"/>
      <c r="Q14" s="24"/>
      <c r="R14" s="24"/>
      <c r="S14" s="51"/>
      <c r="T14" s="52"/>
      <c r="U14" s="51"/>
      <c r="V14" s="78"/>
      <c r="AA14" s="3"/>
      <c r="AB14" s="3"/>
    </row>
    <row r="15" spans="1:28" ht="11.45" customHeight="1" x14ac:dyDescent="0.2">
      <c r="A15" s="59"/>
      <c r="B15" s="26"/>
      <c r="C15" s="24"/>
      <c r="D15" s="57"/>
      <c r="E15" s="28"/>
      <c r="F15" s="24"/>
      <c r="G15" s="56"/>
      <c r="H15" s="24"/>
      <c r="I15" s="24"/>
      <c r="J15" s="24"/>
      <c r="K15" s="24"/>
      <c r="L15" s="118" t="s">
        <v>229</v>
      </c>
      <c r="M15" s="25"/>
      <c r="N15" s="24"/>
      <c r="O15" s="24"/>
      <c r="P15" s="24"/>
      <c r="Q15" s="24"/>
      <c r="R15" s="24"/>
      <c r="S15" s="52"/>
      <c r="T15" s="52"/>
      <c r="U15" s="51"/>
      <c r="V15" s="78"/>
      <c r="AA15" s="3"/>
      <c r="AB15" s="3"/>
    </row>
    <row r="16" spans="1:28" ht="11.45" customHeight="1" x14ac:dyDescent="0.2">
      <c r="A16" s="59"/>
      <c r="B16" s="26">
        <v>408</v>
      </c>
      <c r="C16" s="24" t="s">
        <v>33</v>
      </c>
      <c r="D16" s="57" t="s">
        <v>232</v>
      </c>
      <c r="E16" s="28" t="s">
        <v>233</v>
      </c>
      <c r="F16" s="24"/>
      <c r="G16" s="56"/>
      <c r="H16" s="24">
        <v>1</v>
      </c>
      <c r="I16" s="24"/>
      <c r="J16" s="24"/>
      <c r="K16" s="24"/>
      <c r="L16" s="79" t="s">
        <v>230</v>
      </c>
      <c r="M16" s="25"/>
      <c r="N16" s="24"/>
      <c r="O16" s="24" t="s">
        <v>231</v>
      </c>
      <c r="P16" s="24"/>
      <c r="Q16" s="24" t="s">
        <v>88</v>
      </c>
      <c r="R16" s="24"/>
      <c r="S16" s="52" t="s">
        <v>155</v>
      </c>
      <c r="T16" s="80" t="s">
        <v>249</v>
      </c>
      <c r="U16" s="51" t="s">
        <v>234</v>
      </c>
      <c r="V16" s="78" t="s">
        <v>130</v>
      </c>
      <c r="AA16" s="3"/>
      <c r="AB16" s="3"/>
    </row>
    <row r="17" spans="1:28" ht="11.45" customHeight="1" x14ac:dyDescent="0.2">
      <c r="A17" s="115"/>
      <c r="B17" s="83">
        <v>335</v>
      </c>
      <c r="C17" s="84" t="s">
        <v>37</v>
      </c>
      <c r="D17" s="88">
        <v>41.42</v>
      </c>
      <c r="E17" s="86" t="s">
        <v>152</v>
      </c>
      <c r="F17" s="114"/>
      <c r="G17" s="116"/>
      <c r="H17" s="114"/>
      <c r="I17" s="114"/>
      <c r="J17" s="114">
        <v>1</v>
      </c>
      <c r="K17" s="114"/>
      <c r="L17" s="87" t="s">
        <v>236</v>
      </c>
      <c r="M17" s="87" t="s">
        <v>64</v>
      </c>
      <c r="N17" s="84"/>
      <c r="O17" s="84" t="s">
        <v>237</v>
      </c>
      <c r="P17" s="84"/>
      <c r="Q17" s="84"/>
      <c r="R17" s="84"/>
      <c r="S17" s="87" t="s">
        <v>238</v>
      </c>
      <c r="T17" s="51" t="s">
        <v>239</v>
      </c>
      <c r="U17" s="78" t="s">
        <v>39</v>
      </c>
      <c r="V17" s="51" t="s">
        <v>130</v>
      </c>
      <c r="AA17" s="3"/>
      <c r="AB17" s="3"/>
    </row>
    <row r="18" spans="1:28" ht="11.45" customHeight="1" x14ac:dyDescent="0.2">
      <c r="A18" s="115"/>
      <c r="B18" s="74" t="s">
        <v>91</v>
      </c>
      <c r="C18" s="91" t="s">
        <v>37</v>
      </c>
      <c r="D18" s="96" t="s">
        <v>113</v>
      </c>
      <c r="E18" s="93" t="s">
        <v>38</v>
      </c>
      <c r="F18" s="91" t="s">
        <v>245</v>
      </c>
      <c r="G18" s="100">
        <v>0.8</v>
      </c>
      <c r="H18" s="114"/>
      <c r="I18" s="114"/>
      <c r="J18" s="117">
        <v>1</v>
      </c>
      <c r="K18" s="114"/>
      <c r="L18" s="95" t="s">
        <v>240</v>
      </c>
      <c r="M18" s="95"/>
      <c r="N18" s="91"/>
      <c r="O18" s="91" t="s">
        <v>241</v>
      </c>
      <c r="P18" s="91"/>
      <c r="Q18" s="91" t="s">
        <v>88</v>
      </c>
      <c r="R18" s="91"/>
      <c r="S18" s="95" t="s">
        <v>105</v>
      </c>
      <c r="T18" s="78" t="s">
        <v>39</v>
      </c>
      <c r="U18" s="51" t="s">
        <v>242</v>
      </c>
      <c r="V18" s="51" t="s">
        <v>131</v>
      </c>
      <c r="AA18" s="3"/>
      <c r="AB18" s="3"/>
    </row>
    <row r="19" spans="1:28" ht="11.45" customHeight="1" x14ac:dyDescent="0.2">
      <c r="A19" s="115"/>
      <c r="B19" s="74" t="s">
        <v>91</v>
      </c>
      <c r="C19" s="91" t="s">
        <v>37</v>
      </c>
      <c r="D19" s="96" t="s">
        <v>113</v>
      </c>
      <c r="E19" s="93" t="s">
        <v>38</v>
      </c>
      <c r="F19" s="91" t="s">
        <v>245</v>
      </c>
      <c r="G19" s="100">
        <v>0.8</v>
      </c>
      <c r="H19" s="114"/>
      <c r="I19" s="114"/>
      <c r="J19" s="117">
        <v>1</v>
      </c>
      <c r="K19" s="114"/>
      <c r="L19" s="95" t="s">
        <v>246</v>
      </c>
      <c r="M19" s="95"/>
      <c r="N19" s="91"/>
      <c r="O19" s="91" t="s">
        <v>206</v>
      </c>
      <c r="P19" s="91"/>
      <c r="Q19" s="91" t="s">
        <v>88</v>
      </c>
      <c r="R19" s="114"/>
      <c r="S19" s="95" t="s">
        <v>105</v>
      </c>
      <c r="T19" s="78" t="s">
        <v>39</v>
      </c>
      <c r="U19" s="51" t="s">
        <v>242</v>
      </c>
      <c r="V19" s="51" t="s">
        <v>131</v>
      </c>
      <c r="AA19" s="3"/>
      <c r="AB19" s="3"/>
    </row>
    <row r="20" spans="1:28" ht="11.45" customHeight="1" x14ac:dyDescent="0.2">
      <c r="A20" s="59"/>
      <c r="B20" s="26"/>
      <c r="C20" s="24"/>
      <c r="D20" s="57"/>
      <c r="E20" s="28"/>
      <c r="F20" s="24"/>
      <c r="G20" s="29"/>
      <c r="H20" s="24"/>
      <c r="I20" s="24"/>
      <c r="J20" s="24"/>
      <c r="K20" s="24"/>
      <c r="L20" s="25"/>
      <c r="M20" s="25"/>
      <c r="N20" s="24"/>
      <c r="O20" s="24"/>
      <c r="P20" s="24"/>
      <c r="Q20" s="24"/>
      <c r="R20" s="24"/>
      <c r="S20" s="25"/>
      <c r="T20" s="53"/>
      <c r="U20" s="78"/>
      <c r="V20" s="78"/>
      <c r="AA20" s="3"/>
      <c r="AB20" s="3"/>
    </row>
    <row r="21" spans="1:28" ht="11.45" customHeight="1" x14ac:dyDescent="0.2">
      <c r="A21" s="59"/>
      <c r="B21" s="26"/>
      <c r="C21" s="24"/>
      <c r="D21" s="57"/>
      <c r="E21" s="28"/>
      <c r="F21" s="24"/>
      <c r="G21" s="56"/>
      <c r="H21" s="24"/>
      <c r="I21" s="24"/>
      <c r="J21" s="24"/>
      <c r="K21" s="24"/>
      <c r="L21" s="118" t="s">
        <v>228</v>
      </c>
      <c r="M21" s="25"/>
      <c r="N21" s="24"/>
      <c r="O21" s="24"/>
      <c r="P21" s="24"/>
      <c r="Q21" s="24"/>
      <c r="R21" s="24"/>
      <c r="S21" s="52"/>
      <c r="T21" s="52"/>
      <c r="U21" s="51"/>
      <c r="V21" s="78"/>
      <c r="AA21" s="3"/>
      <c r="AB21" s="3"/>
    </row>
    <row r="22" spans="1:28" ht="11.45" customHeight="1" x14ac:dyDescent="0.2">
      <c r="A22" s="59"/>
      <c r="B22" s="26">
        <v>406</v>
      </c>
      <c r="C22" s="24" t="s">
        <v>33</v>
      </c>
      <c r="D22" s="57" t="s">
        <v>247</v>
      </c>
      <c r="E22" s="28" t="s">
        <v>233</v>
      </c>
      <c r="F22" s="24"/>
      <c r="G22" s="56"/>
      <c r="H22" s="24">
        <v>1</v>
      </c>
      <c r="I22" s="24"/>
      <c r="J22" s="24"/>
      <c r="K22" s="24"/>
      <c r="L22" s="79" t="s">
        <v>230</v>
      </c>
      <c r="M22" s="25"/>
      <c r="N22" s="24"/>
      <c r="O22" s="24" t="s">
        <v>248</v>
      </c>
      <c r="P22" s="24"/>
      <c r="Q22" s="24" t="s">
        <v>88</v>
      </c>
      <c r="R22" s="24"/>
      <c r="S22" s="52" t="s">
        <v>155</v>
      </c>
      <c r="T22" s="80" t="s">
        <v>249</v>
      </c>
      <c r="U22" s="51" t="s">
        <v>234</v>
      </c>
      <c r="V22" s="78" t="s">
        <v>130</v>
      </c>
      <c r="AA22" s="3"/>
      <c r="AB22" s="3"/>
    </row>
    <row r="23" spans="1:28" ht="11.45" customHeight="1" x14ac:dyDescent="0.2">
      <c r="A23" s="59"/>
      <c r="B23" s="83">
        <v>335</v>
      </c>
      <c r="C23" s="84" t="s">
        <v>37</v>
      </c>
      <c r="D23" s="88">
        <v>37.380000000000003</v>
      </c>
      <c r="E23" s="86" t="s">
        <v>152</v>
      </c>
      <c r="F23" s="114"/>
      <c r="G23" s="116"/>
      <c r="H23" s="114"/>
      <c r="I23" s="114"/>
      <c r="J23" s="114">
        <v>1</v>
      </c>
      <c r="K23" s="114"/>
      <c r="L23" s="87" t="s">
        <v>236</v>
      </c>
      <c r="M23" s="87" t="s">
        <v>64</v>
      </c>
      <c r="N23" s="84"/>
      <c r="O23" s="84" t="s">
        <v>250</v>
      </c>
      <c r="P23" s="84"/>
      <c r="Q23" s="84"/>
      <c r="R23" s="84"/>
      <c r="S23" s="87" t="s">
        <v>238</v>
      </c>
      <c r="T23" s="51" t="s">
        <v>239</v>
      </c>
      <c r="U23" s="78" t="s">
        <v>39</v>
      </c>
      <c r="V23" s="51" t="s">
        <v>130</v>
      </c>
      <c r="AA23" s="3"/>
      <c r="AB23" s="3"/>
    </row>
    <row r="24" spans="1:28" ht="11.45" customHeight="1" x14ac:dyDescent="0.2">
      <c r="A24" s="59"/>
      <c r="B24" s="74" t="s">
        <v>91</v>
      </c>
      <c r="C24" s="91" t="s">
        <v>37</v>
      </c>
      <c r="D24" s="96" t="s">
        <v>113</v>
      </c>
      <c r="E24" s="93" t="s">
        <v>38</v>
      </c>
      <c r="F24" s="91" t="s">
        <v>245</v>
      </c>
      <c r="G24" s="100">
        <v>0.8</v>
      </c>
      <c r="H24" s="114"/>
      <c r="I24" s="114"/>
      <c r="J24" s="117">
        <v>1</v>
      </c>
      <c r="K24" s="114"/>
      <c r="L24" s="95" t="s">
        <v>240</v>
      </c>
      <c r="M24" s="95"/>
      <c r="N24" s="91"/>
      <c r="O24" s="91" t="s">
        <v>241</v>
      </c>
      <c r="P24" s="91"/>
      <c r="Q24" s="91" t="s">
        <v>88</v>
      </c>
      <c r="R24" s="91"/>
      <c r="S24" s="95" t="s">
        <v>105</v>
      </c>
      <c r="T24" s="78" t="s">
        <v>39</v>
      </c>
      <c r="U24" s="51" t="s">
        <v>242</v>
      </c>
      <c r="V24" s="51" t="s">
        <v>131</v>
      </c>
      <c r="AA24" s="3"/>
      <c r="AB24" s="3"/>
    </row>
    <row r="25" spans="1:28" ht="11.45" customHeight="1" x14ac:dyDescent="0.2">
      <c r="A25" s="59"/>
      <c r="B25" s="74" t="s">
        <v>91</v>
      </c>
      <c r="C25" s="91" t="s">
        <v>37</v>
      </c>
      <c r="D25" s="96" t="s">
        <v>113</v>
      </c>
      <c r="E25" s="93" t="s">
        <v>38</v>
      </c>
      <c r="F25" s="91" t="s">
        <v>245</v>
      </c>
      <c r="G25" s="100">
        <v>0.8</v>
      </c>
      <c r="H25" s="114"/>
      <c r="I25" s="114"/>
      <c r="J25" s="117">
        <v>1</v>
      </c>
      <c r="K25" s="114"/>
      <c r="L25" s="95" t="s">
        <v>246</v>
      </c>
      <c r="M25" s="95"/>
      <c r="N25" s="91"/>
      <c r="O25" s="91" t="s">
        <v>206</v>
      </c>
      <c r="P25" s="91"/>
      <c r="Q25" s="91" t="s">
        <v>88</v>
      </c>
      <c r="R25" s="114"/>
      <c r="S25" s="95" t="s">
        <v>105</v>
      </c>
      <c r="T25" s="78" t="s">
        <v>39</v>
      </c>
      <c r="U25" s="51" t="s">
        <v>242</v>
      </c>
      <c r="V25" s="51" t="s">
        <v>131</v>
      </c>
      <c r="AA25" s="3"/>
      <c r="AB25" s="3"/>
    </row>
    <row r="26" spans="1:28" ht="11.45" customHeight="1" x14ac:dyDescent="0.2">
      <c r="A26" s="59"/>
      <c r="B26" s="83"/>
      <c r="C26" s="84"/>
      <c r="D26" s="85"/>
      <c r="E26" s="86"/>
      <c r="F26" s="84"/>
      <c r="G26" s="97"/>
      <c r="H26" s="84"/>
      <c r="I26" s="84"/>
      <c r="J26" s="84"/>
      <c r="K26" s="84"/>
      <c r="L26" s="87"/>
      <c r="M26" s="87"/>
      <c r="N26" s="84"/>
      <c r="O26" s="84"/>
      <c r="P26" s="84"/>
      <c r="Q26" s="84"/>
      <c r="R26" s="84"/>
      <c r="S26" s="87"/>
      <c r="T26" s="80"/>
      <c r="U26" s="51"/>
      <c r="V26" s="78"/>
      <c r="AA26" s="3"/>
      <c r="AB26" s="3"/>
    </row>
    <row r="27" spans="1:28" ht="11.45" customHeight="1" x14ac:dyDescent="0.2">
      <c r="A27" s="59"/>
      <c r="B27" s="26"/>
      <c r="C27" s="24"/>
      <c r="D27" s="57"/>
      <c r="E27" s="28"/>
      <c r="F27" s="24"/>
      <c r="G27" s="56"/>
      <c r="H27" s="24"/>
      <c r="I27" s="24"/>
      <c r="J27" s="24"/>
      <c r="K27" s="24"/>
      <c r="L27" s="118" t="s">
        <v>251</v>
      </c>
      <c r="M27" s="25"/>
      <c r="N27" s="24"/>
      <c r="O27" s="24"/>
      <c r="P27" s="24"/>
      <c r="Q27" s="24"/>
      <c r="R27" s="24"/>
      <c r="S27" s="52"/>
      <c r="T27" s="52"/>
      <c r="U27" s="51"/>
      <c r="V27" s="78"/>
      <c r="AA27" s="3"/>
      <c r="AB27" s="3"/>
    </row>
    <row r="28" spans="1:28" ht="11.45" customHeight="1" x14ac:dyDescent="0.2">
      <c r="A28" s="59"/>
      <c r="B28" s="26">
        <v>409</v>
      </c>
      <c r="C28" s="24" t="s">
        <v>33</v>
      </c>
      <c r="D28" s="57" t="s">
        <v>253</v>
      </c>
      <c r="E28" s="28" t="s">
        <v>233</v>
      </c>
      <c r="F28" s="24"/>
      <c r="G28" s="56"/>
      <c r="H28" s="24">
        <v>1</v>
      </c>
      <c r="I28" s="24"/>
      <c r="J28" s="24"/>
      <c r="K28" s="24"/>
      <c r="L28" s="79" t="s">
        <v>230</v>
      </c>
      <c r="M28" s="25"/>
      <c r="N28" s="24"/>
      <c r="O28" s="24" t="s">
        <v>252</v>
      </c>
      <c r="P28" s="24"/>
      <c r="Q28" s="24" t="s">
        <v>88</v>
      </c>
      <c r="R28" s="24"/>
      <c r="S28" s="52" t="s">
        <v>155</v>
      </c>
      <c r="T28" s="80" t="s">
        <v>249</v>
      </c>
      <c r="U28" s="51" t="s">
        <v>234</v>
      </c>
      <c r="V28" s="78" t="s">
        <v>130</v>
      </c>
      <c r="AA28" s="3"/>
      <c r="AB28" s="3"/>
    </row>
    <row r="29" spans="1:28" ht="11.45" customHeight="1" x14ac:dyDescent="0.2">
      <c r="A29" s="59"/>
      <c r="B29" s="83">
        <v>335</v>
      </c>
      <c r="C29" s="84" t="s">
        <v>37</v>
      </c>
      <c r="D29" s="88">
        <v>43.44</v>
      </c>
      <c r="E29" s="86" t="s">
        <v>152</v>
      </c>
      <c r="F29" s="114"/>
      <c r="G29" s="116"/>
      <c r="H29" s="114"/>
      <c r="I29" s="114"/>
      <c r="J29" s="114">
        <v>1</v>
      </c>
      <c r="K29" s="114"/>
      <c r="L29" s="87" t="s">
        <v>236</v>
      </c>
      <c r="M29" s="87" t="s">
        <v>64</v>
      </c>
      <c r="N29" s="84"/>
      <c r="O29" s="84" t="s">
        <v>254</v>
      </c>
      <c r="P29" s="84"/>
      <c r="Q29" s="84"/>
      <c r="R29" s="84"/>
      <c r="S29" s="87" t="s">
        <v>238</v>
      </c>
      <c r="T29" s="51" t="s">
        <v>239</v>
      </c>
      <c r="U29" s="78" t="s">
        <v>39</v>
      </c>
      <c r="V29" s="51" t="s">
        <v>130</v>
      </c>
      <c r="AA29" s="3"/>
      <c r="AB29" s="3"/>
    </row>
    <row r="30" spans="1:28" ht="11.45" customHeight="1" x14ac:dyDescent="0.2">
      <c r="A30" s="59"/>
      <c r="B30" s="74" t="s">
        <v>91</v>
      </c>
      <c r="C30" s="91" t="s">
        <v>37</v>
      </c>
      <c r="D30" s="96" t="s">
        <v>113</v>
      </c>
      <c r="E30" s="93" t="s">
        <v>38</v>
      </c>
      <c r="F30" s="91" t="s">
        <v>245</v>
      </c>
      <c r="G30" s="100">
        <v>0.8</v>
      </c>
      <c r="H30" s="114"/>
      <c r="I30" s="114"/>
      <c r="J30" s="117">
        <v>1</v>
      </c>
      <c r="K30" s="114"/>
      <c r="L30" s="95" t="s">
        <v>240</v>
      </c>
      <c r="M30" s="95"/>
      <c r="N30" s="91"/>
      <c r="O30" s="91" t="s">
        <v>241</v>
      </c>
      <c r="P30" s="91"/>
      <c r="Q30" s="91" t="s">
        <v>88</v>
      </c>
      <c r="R30" s="91"/>
      <c r="S30" s="95" t="s">
        <v>105</v>
      </c>
      <c r="T30" s="78" t="s">
        <v>39</v>
      </c>
      <c r="U30" s="51" t="s">
        <v>242</v>
      </c>
      <c r="V30" s="51" t="s">
        <v>131</v>
      </c>
      <c r="AA30" s="3"/>
      <c r="AB30" s="3"/>
    </row>
    <row r="31" spans="1:28" ht="11.45" customHeight="1" x14ac:dyDescent="0.2">
      <c r="A31" s="59"/>
      <c r="B31" s="74" t="s">
        <v>91</v>
      </c>
      <c r="C31" s="91" t="s">
        <v>37</v>
      </c>
      <c r="D31" s="96" t="s">
        <v>113</v>
      </c>
      <c r="E31" s="93" t="s">
        <v>38</v>
      </c>
      <c r="F31" s="91" t="s">
        <v>245</v>
      </c>
      <c r="G31" s="100">
        <v>0.8</v>
      </c>
      <c r="H31" s="114"/>
      <c r="I31" s="114"/>
      <c r="J31" s="117">
        <v>1</v>
      </c>
      <c r="K31" s="114"/>
      <c r="L31" s="95" t="s">
        <v>246</v>
      </c>
      <c r="M31" s="95"/>
      <c r="N31" s="91"/>
      <c r="O31" s="91" t="s">
        <v>206</v>
      </c>
      <c r="P31" s="91"/>
      <c r="Q31" s="91" t="s">
        <v>88</v>
      </c>
      <c r="R31" s="114"/>
      <c r="S31" s="95" t="s">
        <v>105</v>
      </c>
      <c r="T31" s="78" t="s">
        <v>39</v>
      </c>
      <c r="U31" s="51" t="s">
        <v>242</v>
      </c>
      <c r="V31" s="51" t="s">
        <v>131</v>
      </c>
      <c r="AA31" s="3"/>
      <c r="AB31" s="3"/>
    </row>
    <row r="32" spans="1:28" ht="11.45" customHeight="1" x14ac:dyDescent="0.2">
      <c r="A32" s="59"/>
      <c r="B32" s="26"/>
      <c r="C32" s="91"/>
      <c r="D32" s="96"/>
      <c r="E32" s="93"/>
      <c r="F32" s="91"/>
      <c r="G32" s="100"/>
      <c r="H32" s="24"/>
      <c r="I32" s="24"/>
      <c r="J32" s="24"/>
      <c r="K32" s="24"/>
      <c r="L32" s="95"/>
      <c r="M32" s="95"/>
      <c r="N32" s="24"/>
      <c r="O32" s="91"/>
      <c r="P32" s="24"/>
      <c r="Q32" s="24"/>
      <c r="R32" s="24"/>
      <c r="S32" s="53"/>
      <c r="T32" s="80"/>
      <c r="U32" s="51"/>
      <c r="V32" s="78"/>
      <c r="AA32" s="3"/>
      <c r="AB32" s="3"/>
    </row>
    <row r="33" spans="1:28" ht="11.45" customHeight="1" x14ac:dyDescent="0.2">
      <c r="A33" s="59"/>
      <c r="B33" s="26"/>
      <c r="C33" s="24"/>
      <c r="D33" s="57"/>
      <c r="E33" s="28"/>
      <c r="F33" s="24"/>
      <c r="G33" s="56"/>
      <c r="H33" s="24"/>
      <c r="I33" s="24"/>
      <c r="J33" s="24"/>
      <c r="K33" s="24"/>
      <c r="L33" s="118" t="s">
        <v>255</v>
      </c>
      <c r="M33" s="25"/>
      <c r="N33" s="24"/>
      <c r="O33" s="24"/>
      <c r="P33" s="24"/>
      <c r="Q33" s="24"/>
      <c r="R33" s="24"/>
      <c r="S33" s="52"/>
      <c r="T33" s="52"/>
      <c r="U33" s="51"/>
      <c r="V33" s="78"/>
      <c r="AA33" s="3"/>
      <c r="AB33" s="3"/>
    </row>
    <row r="34" spans="1:28" ht="11.45" customHeight="1" x14ac:dyDescent="0.2">
      <c r="A34" s="59"/>
      <c r="B34" s="26">
        <v>407</v>
      </c>
      <c r="C34" s="24" t="s">
        <v>33</v>
      </c>
      <c r="D34" s="57" t="s">
        <v>258</v>
      </c>
      <c r="E34" s="28" t="s">
        <v>233</v>
      </c>
      <c r="F34" s="24"/>
      <c r="G34" s="56"/>
      <c r="H34" s="24">
        <v>1</v>
      </c>
      <c r="I34" s="24"/>
      <c r="J34" s="24"/>
      <c r="K34" s="24"/>
      <c r="L34" s="79" t="s">
        <v>230</v>
      </c>
      <c r="M34" s="25"/>
      <c r="N34" s="24"/>
      <c r="O34" s="24" t="s">
        <v>257</v>
      </c>
      <c r="P34" s="24"/>
      <c r="Q34" s="24" t="s">
        <v>88</v>
      </c>
      <c r="R34" s="24"/>
      <c r="S34" s="52" t="s">
        <v>155</v>
      </c>
      <c r="T34" s="80" t="s">
        <v>249</v>
      </c>
      <c r="U34" s="51" t="s">
        <v>234</v>
      </c>
      <c r="V34" s="78" t="s">
        <v>130</v>
      </c>
      <c r="AA34" s="3"/>
      <c r="AB34" s="3"/>
    </row>
    <row r="35" spans="1:28" ht="11.45" customHeight="1" x14ac:dyDescent="0.2">
      <c r="A35" s="59"/>
      <c r="B35" s="83">
        <v>335</v>
      </c>
      <c r="C35" s="84" t="s">
        <v>37</v>
      </c>
      <c r="D35" s="88">
        <v>39.4</v>
      </c>
      <c r="E35" s="86" t="s">
        <v>152</v>
      </c>
      <c r="F35" s="114"/>
      <c r="G35" s="116"/>
      <c r="H35" s="114"/>
      <c r="I35" s="114"/>
      <c r="J35" s="114">
        <v>1</v>
      </c>
      <c r="K35" s="114"/>
      <c r="L35" s="87" t="s">
        <v>236</v>
      </c>
      <c r="M35" s="87" t="s">
        <v>64</v>
      </c>
      <c r="N35" s="84"/>
      <c r="O35" s="84" t="s">
        <v>256</v>
      </c>
      <c r="P35" s="84"/>
      <c r="Q35" s="84"/>
      <c r="R35" s="84"/>
      <c r="S35" s="87" t="s">
        <v>238</v>
      </c>
      <c r="T35" s="51" t="s">
        <v>239</v>
      </c>
      <c r="U35" s="78" t="s">
        <v>39</v>
      </c>
      <c r="V35" s="51" t="s">
        <v>130</v>
      </c>
      <c r="AA35" s="3"/>
      <c r="AB35" s="3"/>
    </row>
    <row r="36" spans="1:28" ht="11.45" customHeight="1" x14ac:dyDescent="0.2">
      <c r="A36" s="59"/>
      <c r="B36" s="74" t="s">
        <v>91</v>
      </c>
      <c r="C36" s="91" t="s">
        <v>37</v>
      </c>
      <c r="D36" s="96" t="s">
        <v>113</v>
      </c>
      <c r="E36" s="93" t="s">
        <v>38</v>
      </c>
      <c r="F36" s="91" t="s">
        <v>245</v>
      </c>
      <c r="G36" s="100">
        <v>0.8</v>
      </c>
      <c r="H36" s="114"/>
      <c r="I36" s="114"/>
      <c r="J36" s="117">
        <v>1</v>
      </c>
      <c r="K36" s="114"/>
      <c r="L36" s="95" t="s">
        <v>240</v>
      </c>
      <c r="M36" s="95"/>
      <c r="N36" s="91"/>
      <c r="O36" s="91" t="s">
        <v>241</v>
      </c>
      <c r="P36" s="91"/>
      <c r="Q36" s="91" t="s">
        <v>88</v>
      </c>
      <c r="R36" s="91"/>
      <c r="S36" s="95" t="s">
        <v>105</v>
      </c>
      <c r="T36" s="78" t="s">
        <v>39</v>
      </c>
      <c r="U36" s="51" t="s">
        <v>242</v>
      </c>
      <c r="V36" s="51" t="s">
        <v>131</v>
      </c>
      <c r="AA36" s="3"/>
      <c r="AB36" s="3"/>
    </row>
    <row r="37" spans="1:28" ht="11.45" customHeight="1" x14ac:dyDescent="0.2">
      <c r="A37" s="59"/>
      <c r="B37" s="74" t="s">
        <v>91</v>
      </c>
      <c r="C37" s="91" t="s">
        <v>37</v>
      </c>
      <c r="D37" s="96" t="s">
        <v>113</v>
      </c>
      <c r="E37" s="93" t="s">
        <v>38</v>
      </c>
      <c r="F37" s="91" t="s">
        <v>245</v>
      </c>
      <c r="G37" s="100">
        <v>0.8</v>
      </c>
      <c r="H37" s="114"/>
      <c r="I37" s="114"/>
      <c r="J37" s="117">
        <v>1</v>
      </c>
      <c r="K37" s="114"/>
      <c r="L37" s="95" t="s">
        <v>246</v>
      </c>
      <c r="M37" s="95"/>
      <c r="N37" s="91"/>
      <c r="O37" s="91" t="s">
        <v>206</v>
      </c>
      <c r="P37" s="91"/>
      <c r="Q37" s="91" t="s">
        <v>88</v>
      </c>
      <c r="R37" s="114"/>
      <c r="S37" s="95" t="s">
        <v>105</v>
      </c>
      <c r="T37" s="78" t="s">
        <v>39</v>
      </c>
      <c r="U37" s="51" t="s">
        <v>242</v>
      </c>
      <c r="V37" s="51" t="s">
        <v>131</v>
      </c>
      <c r="AA37" s="3"/>
      <c r="AB37" s="3"/>
    </row>
    <row r="38" spans="1:28" ht="11.45" customHeight="1" x14ac:dyDescent="0.2">
      <c r="A38" s="59"/>
      <c r="B38" s="26"/>
      <c r="C38" s="24"/>
      <c r="D38" s="57"/>
      <c r="E38" s="28"/>
      <c r="F38" s="24"/>
      <c r="G38" s="56"/>
      <c r="H38" s="24"/>
      <c r="I38" s="24"/>
      <c r="J38" s="24"/>
      <c r="K38" s="24"/>
      <c r="L38" s="25"/>
      <c r="M38" s="25"/>
      <c r="N38" s="24"/>
      <c r="O38" s="24"/>
      <c r="P38" s="24"/>
      <c r="Q38" s="24"/>
      <c r="R38" s="24"/>
      <c r="S38" s="25"/>
      <c r="T38" s="80"/>
      <c r="U38" s="51"/>
      <c r="V38" s="78"/>
      <c r="AA38" s="3"/>
      <c r="AB38" s="3"/>
    </row>
    <row r="39" spans="1:28" ht="11.45" customHeight="1" x14ac:dyDescent="0.2">
      <c r="A39" s="59"/>
      <c r="B39" s="26"/>
      <c r="C39" s="24"/>
      <c r="D39" s="57"/>
      <c r="E39" s="28"/>
      <c r="F39" s="24"/>
      <c r="G39" s="56"/>
      <c r="H39" s="24"/>
      <c r="I39" s="24"/>
      <c r="J39" s="24"/>
      <c r="K39" s="24"/>
      <c r="L39" s="118" t="s">
        <v>259</v>
      </c>
      <c r="M39" s="25"/>
      <c r="N39" s="24"/>
      <c r="O39" s="24"/>
      <c r="P39" s="24"/>
      <c r="Q39" s="24"/>
      <c r="R39" s="24"/>
      <c r="S39" s="52"/>
      <c r="T39" s="52"/>
      <c r="U39" s="51"/>
      <c r="V39" s="78"/>
      <c r="AA39" s="3"/>
      <c r="AB39" s="3"/>
    </row>
    <row r="40" spans="1:28" ht="11.45" customHeight="1" x14ac:dyDescent="0.2">
      <c r="A40" s="59"/>
      <c r="B40" s="26">
        <v>410</v>
      </c>
      <c r="C40" s="24" t="s">
        <v>33</v>
      </c>
      <c r="D40" s="57" t="s">
        <v>261</v>
      </c>
      <c r="E40" s="28" t="s">
        <v>233</v>
      </c>
      <c r="F40" s="24"/>
      <c r="G40" s="56"/>
      <c r="H40" s="24">
        <v>1</v>
      </c>
      <c r="I40" s="24"/>
      <c r="J40" s="24"/>
      <c r="K40" s="24"/>
      <c r="L40" s="79" t="s">
        <v>230</v>
      </c>
      <c r="M40" s="25"/>
      <c r="N40" s="24"/>
      <c r="O40" s="24" t="s">
        <v>260</v>
      </c>
      <c r="P40" s="24"/>
      <c r="Q40" s="24" t="s">
        <v>88</v>
      </c>
      <c r="R40" s="24"/>
      <c r="S40" s="52" t="s">
        <v>155</v>
      </c>
      <c r="T40" s="80" t="s">
        <v>249</v>
      </c>
      <c r="U40" s="51" t="s">
        <v>234</v>
      </c>
      <c r="V40" s="78" t="s">
        <v>130</v>
      </c>
      <c r="AA40" s="3"/>
      <c r="AB40" s="3"/>
    </row>
    <row r="41" spans="1:28" ht="11.45" customHeight="1" x14ac:dyDescent="0.2">
      <c r="A41" s="59"/>
      <c r="B41" s="83">
        <v>335</v>
      </c>
      <c r="C41" s="84" t="s">
        <v>37</v>
      </c>
      <c r="D41" s="88">
        <v>45.46</v>
      </c>
      <c r="E41" s="86" t="s">
        <v>152</v>
      </c>
      <c r="F41" s="114"/>
      <c r="G41" s="116"/>
      <c r="H41" s="114"/>
      <c r="I41" s="114"/>
      <c r="J41" s="114">
        <v>1</v>
      </c>
      <c r="K41" s="114"/>
      <c r="L41" s="87" t="s">
        <v>236</v>
      </c>
      <c r="M41" s="87" t="s">
        <v>64</v>
      </c>
      <c r="N41" s="84"/>
      <c r="O41" s="84" t="s">
        <v>262</v>
      </c>
      <c r="P41" s="84"/>
      <c r="Q41" s="84"/>
      <c r="R41" s="84"/>
      <c r="S41" s="87" t="s">
        <v>238</v>
      </c>
      <c r="T41" s="51" t="s">
        <v>239</v>
      </c>
      <c r="U41" s="78" t="s">
        <v>39</v>
      </c>
      <c r="V41" s="51" t="s">
        <v>130</v>
      </c>
      <c r="AA41" s="3"/>
      <c r="AB41" s="3"/>
    </row>
    <row r="42" spans="1:28" ht="11.45" customHeight="1" x14ac:dyDescent="0.2">
      <c r="A42" s="59"/>
      <c r="B42" s="74" t="s">
        <v>91</v>
      </c>
      <c r="C42" s="91" t="s">
        <v>37</v>
      </c>
      <c r="D42" s="96" t="s">
        <v>113</v>
      </c>
      <c r="E42" s="93" t="s">
        <v>38</v>
      </c>
      <c r="F42" s="91" t="s">
        <v>245</v>
      </c>
      <c r="G42" s="100">
        <v>0.8</v>
      </c>
      <c r="H42" s="114"/>
      <c r="I42" s="114"/>
      <c r="J42" s="117">
        <v>1</v>
      </c>
      <c r="K42" s="114"/>
      <c r="L42" s="95" t="s">
        <v>240</v>
      </c>
      <c r="M42" s="95"/>
      <c r="N42" s="91"/>
      <c r="O42" s="91" t="s">
        <v>241</v>
      </c>
      <c r="P42" s="91"/>
      <c r="Q42" s="91" t="s">
        <v>88</v>
      </c>
      <c r="R42" s="91"/>
      <c r="S42" s="95" t="s">
        <v>105</v>
      </c>
      <c r="T42" s="78" t="s">
        <v>39</v>
      </c>
      <c r="U42" s="51" t="s">
        <v>242</v>
      </c>
      <c r="V42" s="51" t="s">
        <v>131</v>
      </c>
      <c r="AA42" s="3"/>
      <c r="AB42" s="3"/>
    </row>
    <row r="43" spans="1:28" ht="11.45" customHeight="1" x14ac:dyDescent="0.2">
      <c r="A43" s="59"/>
      <c r="B43" s="74" t="s">
        <v>91</v>
      </c>
      <c r="C43" s="91" t="s">
        <v>37</v>
      </c>
      <c r="D43" s="96" t="s">
        <v>113</v>
      </c>
      <c r="E43" s="93" t="s">
        <v>38</v>
      </c>
      <c r="F43" s="91" t="s">
        <v>245</v>
      </c>
      <c r="G43" s="100">
        <v>0.8</v>
      </c>
      <c r="H43" s="114"/>
      <c r="I43" s="114"/>
      <c r="J43" s="117">
        <v>1</v>
      </c>
      <c r="K43" s="114"/>
      <c r="L43" s="95" t="s">
        <v>246</v>
      </c>
      <c r="M43" s="95"/>
      <c r="N43" s="91"/>
      <c r="O43" s="91" t="s">
        <v>206</v>
      </c>
      <c r="P43" s="91"/>
      <c r="Q43" s="91" t="s">
        <v>88</v>
      </c>
      <c r="R43" s="114"/>
      <c r="S43" s="95" t="s">
        <v>105</v>
      </c>
      <c r="T43" s="78" t="s">
        <v>39</v>
      </c>
      <c r="U43" s="51" t="s">
        <v>242</v>
      </c>
      <c r="V43" s="51" t="s">
        <v>131</v>
      </c>
      <c r="AA43" s="3"/>
      <c r="AB43" s="3"/>
    </row>
    <row r="44" spans="1:28" ht="11.45" customHeight="1" x14ac:dyDescent="0.2">
      <c r="A44" s="59"/>
      <c r="B44" s="26"/>
      <c r="C44" s="24"/>
      <c r="D44" s="57"/>
      <c r="E44" s="28"/>
      <c r="F44" s="24"/>
      <c r="G44" s="56"/>
      <c r="H44" s="24"/>
      <c r="I44" s="24"/>
      <c r="J44" s="24"/>
      <c r="K44" s="24"/>
      <c r="L44" s="25"/>
      <c r="M44" s="25"/>
      <c r="N44" s="24"/>
      <c r="O44" s="24"/>
      <c r="P44" s="24"/>
      <c r="Q44" s="24"/>
      <c r="R44" s="24"/>
      <c r="S44" s="25"/>
      <c r="T44" s="80"/>
      <c r="U44" s="51"/>
      <c r="V44" s="78"/>
      <c r="AA44" s="3"/>
      <c r="AB44" s="3"/>
    </row>
    <row r="45" spans="1:28" ht="11.45" customHeight="1" x14ac:dyDescent="0.2">
      <c r="A45" s="59"/>
      <c r="B45" s="26"/>
      <c r="C45" s="24"/>
      <c r="D45" s="57"/>
      <c r="E45" s="28"/>
      <c r="F45" s="24"/>
      <c r="G45" s="56"/>
      <c r="H45" s="24"/>
      <c r="I45" s="24"/>
      <c r="J45" s="24"/>
      <c r="K45" s="24"/>
      <c r="L45" s="118" t="s">
        <v>265</v>
      </c>
      <c r="M45" s="25"/>
      <c r="N45" s="24"/>
      <c r="O45" s="24"/>
      <c r="P45" s="24"/>
      <c r="Q45" s="24"/>
      <c r="R45" s="24"/>
      <c r="S45" s="52"/>
      <c r="T45" s="52"/>
      <c r="U45" s="51"/>
      <c r="V45" s="78"/>
      <c r="AA45" s="3"/>
      <c r="AB45" s="3"/>
    </row>
    <row r="46" spans="1:28" ht="11.45" customHeight="1" x14ac:dyDescent="0.2">
      <c r="A46" s="59"/>
      <c r="B46" s="26">
        <v>411</v>
      </c>
      <c r="C46" s="24" t="s">
        <v>33</v>
      </c>
      <c r="D46" s="57" t="s">
        <v>267</v>
      </c>
      <c r="E46" s="28" t="s">
        <v>233</v>
      </c>
      <c r="F46" s="24"/>
      <c r="G46" s="56"/>
      <c r="H46" s="24">
        <v>1</v>
      </c>
      <c r="I46" s="24"/>
      <c r="J46" s="24"/>
      <c r="K46" s="24"/>
      <c r="L46" s="79" t="s">
        <v>230</v>
      </c>
      <c r="M46" s="25"/>
      <c r="N46" s="24"/>
      <c r="O46" s="24" t="s">
        <v>266</v>
      </c>
      <c r="P46" s="24"/>
      <c r="Q46" s="24" t="s">
        <v>88</v>
      </c>
      <c r="R46" s="24"/>
      <c r="S46" s="52" t="s">
        <v>155</v>
      </c>
      <c r="T46" s="80" t="s">
        <v>249</v>
      </c>
      <c r="U46" s="51" t="s">
        <v>234</v>
      </c>
      <c r="V46" s="78" t="s">
        <v>130</v>
      </c>
      <c r="AA46" s="3"/>
      <c r="AB46" s="3"/>
    </row>
    <row r="47" spans="1:28" ht="11.45" customHeight="1" x14ac:dyDescent="0.2">
      <c r="A47" s="59"/>
      <c r="B47" s="83">
        <v>335</v>
      </c>
      <c r="C47" s="84" t="s">
        <v>37</v>
      </c>
      <c r="D47" s="88">
        <v>47.48</v>
      </c>
      <c r="E47" s="86" t="s">
        <v>152</v>
      </c>
      <c r="F47" s="114"/>
      <c r="G47" s="116"/>
      <c r="H47" s="114"/>
      <c r="I47" s="114"/>
      <c r="J47" s="114">
        <v>1</v>
      </c>
      <c r="K47" s="114"/>
      <c r="L47" s="87" t="s">
        <v>236</v>
      </c>
      <c r="M47" s="87" t="s">
        <v>64</v>
      </c>
      <c r="N47" s="84"/>
      <c r="O47" s="84" t="s">
        <v>268</v>
      </c>
      <c r="P47" s="84"/>
      <c r="Q47" s="84"/>
      <c r="R47" s="84"/>
      <c r="S47" s="87" t="s">
        <v>238</v>
      </c>
      <c r="T47" s="51" t="s">
        <v>239</v>
      </c>
      <c r="U47" s="78" t="s">
        <v>39</v>
      </c>
      <c r="V47" s="51" t="s">
        <v>130</v>
      </c>
      <c r="AA47" s="3"/>
      <c r="AB47" s="3"/>
    </row>
    <row r="48" spans="1:28" ht="11.45" customHeight="1" x14ac:dyDescent="0.2">
      <c r="A48" s="59"/>
      <c r="B48" s="74" t="s">
        <v>91</v>
      </c>
      <c r="C48" s="91" t="s">
        <v>37</v>
      </c>
      <c r="D48" s="96" t="s">
        <v>113</v>
      </c>
      <c r="E48" s="93" t="s">
        <v>38</v>
      </c>
      <c r="F48" s="91" t="s">
        <v>245</v>
      </c>
      <c r="G48" s="100">
        <v>0.8</v>
      </c>
      <c r="H48" s="114"/>
      <c r="I48" s="114"/>
      <c r="J48" s="117">
        <v>1</v>
      </c>
      <c r="K48" s="114"/>
      <c r="L48" s="95" t="s">
        <v>240</v>
      </c>
      <c r="M48" s="95"/>
      <c r="N48" s="91"/>
      <c r="O48" s="91" t="s">
        <v>241</v>
      </c>
      <c r="P48" s="91"/>
      <c r="Q48" s="91" t="s">
        <v>88</v>
      </c>
      <c r="R48" s="91"/>
      <c r="S48" s="95" t="s">
        <v>105</v>
      </c>
      <c r="T48" s="78" t="s">
        <v>39</v>
      </c>
      <c r="U48" s="51" t="s">
        <v>242</v>
      </c>
      <c r="V48" s="51" t="s">
        <v>131</v>
      </c>
      <c r="AA48" s="3"/>
      <c r="AB48" s="3"/>
    </row>
    <row r="49" spans="1:28" ht="11.45" customHeight="1" x14ac:dyDescent="0.2">
      <c r="A49" s="59"/>
      <c r="B49" s="74" t="s">
        <v>91</v>
      </c>
      <c r="C49" s="91" t="s">
        <v>37</v>
      </c>
      <c r="D49" s="96" t="s">
        <v>113</v>
      </c>
      <c r="E49" s="93" t="s">
        <v>38</v>
      </c>
      <c r="F49" s="91" t="s">
        <v>245</v>
      </c>
      <c r="G49" s="100">
        <v>0.8</v>
      </c>
      <c r="H49" s="114"/>
      <c r="I49" s="114"/>
      <c r="J49" s="117">
        <v>1</v>
      </c>
      <c r="K49" s="114"/>
      <c r="L49" s="95" t="s">
        <v>246</v>
      </c>
      <c r="M49" s="95"/>
      <c r="N49" s="91"/>
      <c r="O49" s="91" t="s">
        <v>206</v>
      </c>
      <c r="P49" s="91"/>
      <c r="Q49" s="91" t="s">
        <v>88</v>
      </c>
      <c r="R49" s="114"/>
      <c r="S49" s="95" t="s">
        <v>105</v>
      </c>
      <c r="T49" s="78" t="s">
        <v>39</v>
      </c>
      <c r="U49" s="51" t="s">
        <v>242</v>
      </c>
      <c r="V49" s="51" t="s">
        <v>131</v>
      </c>
      <c r="AA49" s="3"/>
      <c r="AB49" s="3"/>
    </row>
    <row r="50" spans="1:28" ht="11.45" customHeight="1" x14ac:dyDescent="0.2">
      <c r="A50" s="59"/>
      <c r="B50" s="26"/>
      <c r="C50" s="24"/>
      <c r="D50" s="57"/>
      <c r="E50" s="28"/>
      <c r="F50" s="24"/>
      <c r="G50" s="99"/>
      <c r="H50" s="24"/>
      <c r="I50" s="24"/>
      <c r="J50" s="24"/>
      <c r="K50" s="24"/>
      <c r="L50" s="25"/>
      <c r="M50" s="25"/>
      <c r="N50" s="24"/>
      <c r="O50" s="24"/>
      <c r="P50" s="24"/>
      <c r="Q50" s="24"/>
      <c r="R50" s="24"/>
      <c r="S50" s="25"/>
      <c r="T50" s="80"/>
      <c r="U50" s="78"/>
      <c r="V50" s="78"/>
      <c r="AA50" s="3"/>
      <c r="AB50" s="3"/>
    </row>
    <row r="51" spans="1:28" ht="11.45" customHeight="1" thickBot="1" x14ac:dyDescent="0.25">
      <c r="A51" s="60"/>
      <c r="B51" s="61"/>
      <c r="C51" s="62"/>
      <c r="D51" s="101"/>
      <c r="E51" s="64"/>
      <c r="F51" s="62"/>
      <c r="G51" s="102"/>
      <c r="H51" s="62"/>
      <c r="I51" s="62"/>
      <c r="J51" s="62"/>
      <c r="K51" s="62"/>
      <c r="L51" s="66"/>
      <c r="M51" s="66"/>
      <c r="N51" s="62"/>
      <c r="O51" s="62"/>
      <c r="P51" s="62"/>
      <c r="Q51" s="62"/>
      <c r="R51" s="62"/>
      <c r="S51" s="66"/>
      <c r="T51" s="66"/>
      <c r="U51" s="66"/>
      <c r="V51" s="66"/>
      <c r="AA51" s="3"/>
      <c r="AB51" s="3"/>
    </row>
    <row r="52" spans="1:28" ht="11.45" customHeight="1" thickTop="1" x14ac:dyDescent="0.2">
      <c r="A52" s="103"/>
      <c r="B52" s="104"/>
      <c r="C52" s="104"/>
      <c r="D52" s="105"/>
      <c r="E52" s="106"/>
      <c r="F52" s="104"/>
      <c r="G52" s="119" t="s">
        <v>225</v>
      </c>
      <c r="H52" s="113">
        <f>SUM(H13:H47)</f>
        <v>6</v>
      </c>
      <c r="I52" s="113">
        <f>SUM(I13:I47)</f>
        <v>0</v>
      </c>
      <c r="J52" s="113">
        <f>SUM(J14:J51)</f>
        <v>18</v>
      </c>
      <c r="K52" s="113">
        <f>SUM(K13:K47)</f>
        <v>0</v>
      </c>
      <c r="L52" s="107"/>
      <c r="M52" s="107"/>
      <c r="N52" s="104"/>
      <c r="O52" s="104"/>
      <c r="P52" s="104"/>
      <c r="Q52" s="104"/>
      <c r="R52" s="104"/>
      <c r="S52" s="107"/>
      <c r="T52" s="107"/>
      <c r="U52" s="107"/>
      <c r="V52" s="107"/>
      <c r="AA52" s="3"/>
      <c r="AB52" s="3"/>
    </row>
    <row r="53" spans="1:28" ht="11.45" customHeight="1" x14ac:dyDescent="0.2">
      <c r="A53" s="108"/>
      <c r="B53" s="14"/>
      <c r="C53" s="14"/>
      <c r="D53" s="109"/>
      <c r="E53" s="110"/>
      <c r="F53" s="14"/>
      <c r="G53" s="122" t="s">
        <v>263</v>
      </c>
      <c r="H53" s="14">
        <v>6</v>
      </c>
      <c r="I53" s="14"/>
      <c r="J53" s="14">
        <v>6</v>
      </c>
      <c r="K53" s="14"/>
      <c r="L53" s="13"/>
      <c r="M53" s="13"/>
      <c r="N53" s="14"/>
      <c r="O53" s="14"/>
      <c r="P53" s="14"/>
      <c r="Q53" s="14"/>
      <c r="R53" s="14"/>
      <c r="S53" s="13"/>
      <c r="T53" s="13"/>
      <c r="U53" s="13"/>
      <c r="V53" s="13"/>
      <c r="AA53" s="3"/>
      <c r="AB53" s="3"/>
    </row>
    <row r="54" spans="1:28" ht="11.45" customHeight="1" x14ac:dyDescent="0.2">
      <c r="A54" s="108"/>
      <c r="B54" s="14"/>
      <c r="C54" s="14"/>
      <c r="D54" s="109"/>
      <c r="E54" s="110"/>
      <c r="F54" s="14"/>
      <c r="G54" s="120" t="s">
        <v>264</v>
      </c>
      <c r="H54" s="121">
        <v>0</v>
      </c>
      <c r="I54" s="121"/>
      <c r="J54" s="121">
        <f>J52-J53</f>
        <v>12</v>
      </c>
      <c r="K54" s="121"/>
      <c r="L54" s="13"/>
      <c r="M54" s="111"/>
      <c r="N54" s="14"/>
      <c r="O54" s="14"/>
      <c r="P54" s="14"/>
      <c r="Q54" s="14"/>
      <c r="R54" s="14"/>
      <c r="S54" s="13"/>
      <c r="T54" s="13"/>
      <c r="U54" s="13"/>
      <c r="V54" s="13"/>
      <c r="AA54" s="3"/>
      <c r="AB54" s="3"/>
    </row>
    <row r="55" spans="1:28" s="3" customFormat="1" x14ac:dyDescent="0.2">
      <c r="B55" s="4"/>
      <c r="C55" s="4"/>
      <c r="E55" s="4"/>
      <c r="F55" s="4"/>
      <c r="G55" s="4"/>
      <c r="H55" s="4"/>
      <c r="I55" s="4"/>
      <c r="J55" s="4"/>
      <c r="K55" s="4"/>
      <c r="N55" s="4"/>
      <c r="O55" s="4"/>
      <c r="P55" s="4"/>
      <c r="Q55" s="4"/>
      <c r="R55" s="4"/>
    </row>
    <row r="56" spans="1:28" s="3" customFormat="1" x14ac:dyDescent="0.2">
      <c r="B56" s="4"/>
      <c r="C56" s="4"/>
      <c r="E56" s="4"/>
      <c r="F56" s="4"/>
      <c r="G56" s="4"/>
      <c r="H56" s="4"/>
      <c r="I56" s="4"/>
      <c r="J56" s="4"/>
      <c r="K56" s="4"/>
      <c r="N56" s="4"/>
      <c r="O56" s="4"/>
      <c r="P56" s="4"/>
      <c r="Q56" s="4"/>
      <c r="R56" s="4"/>
    </row>
    <row r="57" spans="1:28" s="3" customFormat="1" x14ac:dyDescent="0.2">
      <c r="B57" s="4"/>
      <c r="C57" s="4"/>
      <c r="E57" s="4"/>
      <c r="F57" s="4"/>
      <c r="G57" s="4"/>
      <c r="H57" s="4"/>
      <c r="I57" s="4"/>
      <c r="J57" s="4"/>
      <c r="K57" s="4"/>
      <c r="N57" s="4"/>
      <c r="O57" s="4"/>
      <c r="P57" s="4"/>
      <c r="Q57" s="4"/>
      <c r="R57" s="4"/>
    </row>
    <row r="58" spans="1:28" s="3" customFormat="1" x14ac:dyDescent="0.2">
      <c r="B58" s="4"/>
      <c r="C58" s="4"/>
      <c r="E58" s="4"/>
      <c r="F58" s="4"/>
      <c r="G58" s="4"/>
      <c r="H58" s="4"/>
      <c r="I58" s="4"/>
      <c r="J58" s="4"/>
      <c r="K58" s="4"/>
      <c r="N58" s="4"/>
      <c r="O58" s="4"/>
      <c r="P58" s="4"/>
      <c r="Q58" s="4"/>
      <c r="R58" s="4"/>
    </row>
    <row r="59" spans="1:28" s="3" customFormat="1" x14ac:dyDescent="0.2">
      <c r="B59" s="4"/>
      <c r="C59" s="4"/>
      <c r="E59" s="4"/>
      <c r="F59" s="4"/>
      <c r="G59" s="4"/>
      <c r="H59" s="4"/>
      <c r="I59" s="4"/>
      <c r="J59" s="4"/>
      <c r="K59" s="4"/>
      <c r="N59" s="4"/>
      <c r="O59" s="4"/>
      <c r="P59" s="4"/>
      <c r="Q59" s="4"/>
      <c r="R59" s="4"/>
    </row>
    <row r="60" spans="1:28" s="3" customFormat="1" x14ac:dyDescent="0.2">
      <c r="B60" s="4"/>
      <c r="C60" s="4"/>
      <c r="E60" s="4"/>
      <c r="F60" s="4"/>
      <c r="G60" s="4"/>
      <c r="H60" s="4"/>
      <c r="I60" s="4"/>
      <c r="J60" s="4"/>
      <c r="K60" s="4"/>
      <c r="N60" s="4"/>
      <c r="O60" s="4"/>
      <c r="P60" s="4"/>
      <c r="Q60" s="4"/>
      <c r="R60" s="4"/>
    </row>
    <row r="61" spans="1:28" s="3" customFormat="1" x14ac:dyDescent="0.2">
      <c r="B61" s="4"/>
      <c r="C61" s="4"/>
      <c r="E61" s="4"/>
      <c r="F61" s="4"/>
      <c r="G61" s="4"/>
      <c r="H61" s="4"/>
      <c r="I61" s="4"/>
      <c r="J61" s="4"/>
      <c r="K61" s="4"/>
      <c r="N61" s="4"/>
      <c r="O61" s="4"/>
      <c r="P61" s="4"/>
      <c r="Q61" s="4"/>
      <c r="R61" s="4"/>
    </row>
    <row r="310" spans="1:11" x14ac:dyDescent="0.2">
      <c r="A310" s="18"/>
      <c r="B310" s="19"/>
      <c r="C310" s="19"/>
      <c r="D310" s="18"/>
      <c r="E310" s="19"/>
      <c r="F310" s="19"/>
      <c r="G310" s="19"/>
      <c r="H310" s="19"/>
      <c r="I310" s="19"/>
      <c r="J310" s="19"/>
      <c r="K310" s="19"/>
    </row>
    <row r="311" spans="1:11" x14ac:dyDescent="0.2">
      <c r="A311" s="18"/>
      <c r="B311" s="19"/>
      <c r="C311" s="19"/>
      <c r="D311" s="18"/>
      <c r="E311" s="19"/>
      <c r="F311" s="19"/>
      <c r="G311" s="19"/>
      <c r="H311" s="19"/>
      <c r="I311" s="19"/>
      <c r="J311" s="19"/>
      <c r="K311" s="19"/>
    </row>
    <row r="312" spans="1:11" x14ac:dyDescent="0.2">
      <c r="A312" s="8"/>
      <c r="B312" s="9"/>
      <c r="C312" s="9"/>
      <c r="D312" s="8"/>
      <c r="E312" s="9"/>
      <c r="F312" s="9"/>
      <c r="G312" s="9"/>
      <c r="H312" s="9"/>
      <c r="I312" s="9"/>
      <c r="J312" s="9"/>
      <c r="K312" s="9"/>
    </row>
    <row r="313" spans="1:11" x14ac:dyDescent="0.2">
      <c r="A313" s="8"/>
      <c r="B313" s="9"/>
      <c r="C313" s="9"/>
      <c r="D313" s="8"/>
      <c r="E313" s="9"/>
      <c r="F313" s="9"/>
      <c r="G313" s="9"/>
      <c r="H313" s="9"/>
      <c r="I313" s="9"/>
      <c r="J313" s="9"/>
      <c r="K313" s="9"/>
    </row>
    <row r="314" spans="1:11" x14ac:dyDescent="0.2">
      <c r="A314" s="5" t="s">
        <v>34</v>
      </c>
      <c r="B314" s="11" t="s">
        <v>41</v>
      </c>
      <c r="C314" s="6" t="s">
        <v>42</v>
      </c>
      <c r="D314" s="9" t="s">
        <v>43</v>
      </c>
      <c r="E314" s="7" t="s">
        <v>44</v>
      </c>
      <c r="F314" s="9"/>
      <c r="G314" s="9"/>
      <c r="H314" s="9"/>
      <c r="I314" s="9"/>
      <c r="J314" s="9"/>
      <c r="K314" s="9"/>
    </row>
    <row r="315" spans="1:11" x14ac:dyDescent="0.2">
      <c r="A315" s="5" t="s">
        <v>45</v>
      </c>
      <c r="B315" s="11" t="s">
        <v>46</v>
      </c>
      <c r="C315" s="6" t="s">
        <v>47</v>
      </c>
      <c r="D315" s="6" t="s">
        <v>48</v>
      </c>
      <c r="E315" s="7" t="s">
        <v>49</v>
      </c>
      <c r="F315" s="9"/>
      <c r="G315" s="9"/>
      <c r="H315" s="9"/>
      <c r="I315" s="9"/>
      <c r="J315" s="9"/>
      <c r="K315" s="9"/>
    </row>
    <row r="316" spans="1:11" x14ac:dyDescent="0.2">
      <c r="A316" s="5" t="s">
        <v>33</v>
      </c>
      <c r="B316" s="12" t="s">
        <v>50</v>
      </c>
      <c r="C316" s="9" t="s">
        <v>51</v>
      </c>
      <c r="D316" s="6" t="s">
        <v>35</v>
      </c>
      <c r="E316" s="7" t="s">
        <v>52</v>
      </c>
      <c r="F316" s="9"/>
      <c r="G316" s="9"/>
      <c r="H316" s="9"/>
      <c r="I316" s="9"/>
      <c r="J316" s="9"/>
      <c r="K316" s="9"/>
    </row>
    <row r="317" spans="1:11" x14ac:dyDescent="0.2">
      <c r="A317" s="5" t="s">
        <v>37</v>
      </c>
      <c r="B317" s="11" t="s">
        <v>53</v>
      </c>
      <c r="C317" s="6" t="s">
        <v>54</v>
      </c>
      <c r="D317" s="6" t="s">
        <v>55</v>
      </c>
      <c r="E317" s="7" t="s">
        <v>56</v>
      </c>
      <c r="F317" s="9"/>
      <c r="G317" s="9"/>
      <c r="H317" s="9"/>
      <c r="I317" s="9"/>
      <c r="J317" s="9"/>
      <c r="K317" s="9"/>
    </row>
    <row r="318" spans="1:11" x14ac:dyDescent="0.2">
      <c r="A318" s="5" t="s">
        <v>57</v>
      </c>
      <c r="B318" s="12" t="s">
        <v>58</v>
      </c>
      <c r="C318" s="6" t="s">
        <v>59</v>
      </c>
      <c r="D318" s="6" t="s">
        <v>60</v>
      </c>
      <c r="E318" s="7" t="s">
        <v>61</v>
      </c>
      <c r="F318" s="9"/>
      <c r="G318" s="9"/>
      <c r="H318" s="9"/>
      <c r="I318" s="9"/>
      <c r="J318" s="9"/>
      <c r="K318" s="9"/>
    </row>
    <row r="319" spans="1:11" x14ac:dyDescent="0.2">
      <c r="A319" s="5" t="s">
        <v>62</v>
      </c>
      <c r="B319" s="11" t="s">
        <v>38</v>
      </c>
      <c r="C319" s="6" t="s">
        <v>63</v>
      </c>
      <c r="D319" s="8"/>
      <c r="E319" s="7" t="s">
        <v>64</v>
      </c>
      <c r="F319" s="9"/>
      <c r="G319" s="9"/>
      <c r="H319" s="9"/>
      <c r="I319" s="9"/>
      <c r="J319" s="9"/>
      <c r="K319" s="9"/>
    </row>
    <row r="320" spans="1:11" x14ac:dyDescent="0.2">
      <c r="A320" s="5" t="s">
        <v>65</v>
      </c>
      <c r="B320" s="11" t="s">
        <v>40</v>
      </c>
      <c r="C320" s="6" t="s">
        <v>66</v>
      </c>
      <c r="D320" s="8"/>
      <c r="E320" s="10">
        <v>2.2999999999999998</v>
      </c>
      <c r="F320" s="9"/>
      <c r="G320" s="9"/>
      <c r="H320" s="9"/>
      <c r="I320" s="9"/>
      <c r="J320" s="9"/>
      <c r="K320" s="9"/>
    </row>
    <row r="321" spans="1:11" x14ac:dyDescent="0.2">
      <c r="A321" s="5" t="s">
        <v>67</v>
      </c>
      <c r="B321" s="9"/>
      <c r="C321" s="6" t="s">
        <v>68</v>
      </c>
      <c r="D321" s="8"/>
      <c r="E321" s="10">
        <v>7.8</v>
      </c>
      <c r="F321" s="9"/>
      <c r="G321" s="9"/>
      <c r="H321" s="9"/>
      <c r="I321" s="9"/>
      <c r="J321" s="9"/>
      <c r="K321" s="9"/>
    </row>
    <row r="322" spans="1:11" x14ac:dyDescent="0.2">
      <c r="A322" s="5" t="s">
        <v>69</v>
      </c>
      <c r="B322" s="9"/>
      <c r="C322" s="6" t="s">
        <v>70</v>
      </c>
      <c r="D322" s="8"/>
      <c r="E322" s="9"/>
      <c r="F322" s="9"/>
      <c r="G322" s="9"/>
      <c r="H322" s="9"/>
      <c r="I322" s="9"/>
      <c r="J322" s="9"/>
      <c r="K322" s="9"/>
    </row>
    <row r="323" spans="1:11" x14ac:dyDescent="0.2">
      <c r="A323" s="5" t="s">
        <v>71</v>
      </c>
      <c r="B323" s="9"/>
      <c r="C323" s="6" t="s">
        <v>72</v>
      </c>
      <c r="D323" s="8"/>
      <c r="E323" s="9"/>
      <c r="F323" s="9"/>
      <c r="G323" s="9"/>
      <c r="H323" s="9"/>
      <c r="I323" s="9"/>
      <c r="J323" s="9"/>
      <c r="K323" s="9"/>
    </row>
    <row r="324" spans="1:11" x14ac:dyDescent="0.2">
      <c r="A324" s="8"/>
      <c r="B324" s="9"/>
      <c r="C324" s="6" t="s">
        <v>73</v>
      </c>
      <c r="D324" s="8"/>
      <c r="E324" s="8"/>
      <c r="F324" s="9"/>
      <c r="G324" s="9"/>
      <c r="H324" s="9"/>
      <c r="I324" s="9"/>
      <c r="J324" s="9"/>
      <c r="K324" s="9"/>
    </row>
    <row r="325" spans="1:11" x14ac:dyDescent="0.2">
      <c r="A325" s="8"/>
      <c r="B325" s="9"/>
      <c r="C325" s="6" t="s">
        <v>74</v>
      </c>
      <c r="D325" s="8"/>
      <c r="E325" s="8"/>
      <c r="F325" s="9"/>
      <c r="G325" s="9"/>
      <c r="H325" s="9"/>
      <c r="I325" s="9"/>
      <c r="J325" s="9"/>
      <c r="K325" s="9"/>
    </row>
    <row r="326" spans="1:11" x14ac:dyDescent="0.2">
      <c r="A326" s="8"/>
      <c r="B326" s="9"/>
      <c r="C326" s="6" t="s">
        <v>75</v>
      </c>
      <c r="D326" s="8"/>
      <c r="E326" s="8"/>
      <c r="F326" s="9"/>
      <c r="G326" s="9"/>
      <c r="H326" s="9"/>
      <c r="I326" s="9"/>
      <c r="J326" s="9"/>
      <c r="K326" s="9"/>
    </row>
    <row r="327" spans="1:11" x14ac:dyDescent="0.2">
      <c r="A327" s="8"/>
      <c r="B327" s="9"/>
      <c r="C327" s="6" t="s">
        <v>76</v>
      </c>
      <c r="D327" s="8"/>
      <c r="E327" s="8"/>
      <c r="F327" s="9"/>
      <c r="G327" s="9"/>
      <c r="H327" s="9"/>
      <c r="I327" s="9"/>
      <c r="J327" s="9"/>
      <c r="K327" s="9"/>
    </row>
    <row r="328" spans="1:11" x14ac:dyDescent="0.2">
      <c r="A328" s="8"/>
      <c r="B328" s="9"/>
      <c r="C328" s="6" t="s">
        <v>77</v>
      </c>
      <c r="D328" s="8"/>
      <c r="E328" s="8"/>
      <c r="F328" s="9"/>
      <c r="G328" s="9"/>
      <c r="H328" s="9"/>
      <c r="I328" s="9"/>
      <c r="J328" s="9"/>
      <c r="K328" s="9"/>
    </row>
    <row r="329" spans="1:11" x14ac:dyDescent="0.2">
      <c r="A329" s="8"/>
      <c r="B329" s="9"/>
      <c r="C329" s="6" t="s">
        <v>78</v>
      </c>
      <c r="D329" s="8"/>
      <c r="E329" s="8"/>
      <c r="F329" s="9"/>
      <c r="G329" s="9"/>
      <c r="H329" s="9"/>
      <c r="I329" s="9"/>
      <c r="J329" s="9"/>
      <c r="K329" s="9"/>
    </row>
    <row r="330" spans="1:11" x14ac:dyDescent="0.2">
      <c r="A330" s="8"/>
      <c r="B330" s="9"/>
      <c r="C330" s="6" t="s">
        <v>79</v>
      </c>
      <c r="D330" s="8"/>
      <c r="E330" s="8"/>
      <c r="F330" s="9"/>
      <c r="G330" s="9"/>
      <c r="H330" s="9"/>
      <c r="I330" s="9"/>
      <c r="J330" s="9"/>
      <c r="K330" s="9"/>
    </row>
    <row r="331" spans="1:11" x14ac:dyDescent="0.2">
      <c r="A331" s="8"/>
      <c r="B331" s="9"/>
      <c r="C331" s="6" t="s">
        <v>80</v>
      </c>
      <c r="D331" s="8"/>
      <c r="E331" s="8"/>
      <c r="F331" s="9"/>
      <c r="G331" s="9"/>
      <c r="H331" s="9"/>
      <c r="I331" s="9"/>
      <c r="J331" s="9"/>
      <c r="K331" s="9"/>
    </row>
    <row r="332" spans="1:11" x14ac:dyDescent="0.2">
      <c r="A332" s="8"/>
      <c r="B332" s="9"/>
      <c r="C332" s="6" t="s">
        <v>81</v>
      </c>
      <c r="D332" s="8"/>
      <c r="E332" s="9"/>
      <c r="F332" s="9"/>
      <c r="G332" s="9"/>
      <c r="H332" s="9"/>
      <c r="I332" s="9"/>
      <c r="J332" s="9"/>
      <c r="K332" s="9"/>
    </row>
    <row r="333" spans="1:11" x14ac:dyDescent="0.2">
      <c r="A333" s="8"/>
      <c r="B333" s="9"/>
      <c r="C333" s="6" t="s">
        <v>82</v>
      </c>
      <c r="D333" s="8"/>
      <c r="E333" s="9"/>
      <c r="F333" s="9"/>
      <c r="G333" s="9"/>
      <c r="H333" s="9"/>
      <c r="I333" s="9"/>
      <c r="J333" s="9"/>
      <c r="K333" s="9"/>
    </row>
    <row r="334" spans="1:11" x14ac:dyDescent="0.2">
      <c r="A334" s="8"/>
      <c r="B334" s="9"/>
      <c r="C334" s="6" t="s">
        <v>83</v>
      </c>
      <c r="D334" s="8"/>
      <c r="E334" s="9"/>
      <c r="F334" s="9"/>
      <c r="G334" s="9"/>
      <c r="H334" s="9"/>
      <c r="I334" s="9"/>
      <c r="J334" s="9"/>
      <c r="K334" s="9"/>
    </row>
    <row r="335" spans="1:11" x14ac:dyDescent="0.2">
      <c r="A335" s="8"/>
      <c r="B335" s="9"/>
      <c r="C335" s="9"/>
      <c r="D335" s="8"/>
      <c r="E335" s="9"/>
      <c r="F335" s="9"/>
      <c r="G335" s="9"/>
      <c r="H335" s="9"/>
      <c r="I335" s="9"/>
      <c r="J335" s="9"/>
      <c r="K335" s="9"/>
    </row>
    <row r="336" spans="1:11" x14ac:dyDescent="0.2">
      <c r="A336" s="18"/>
      <c r="B336" s="19"/>
      <c r="C336" s="19"/>
      <c r="D336" s="18"/>
      <c r="E336" s="19"/>
      <c r="F336" s="19"/>
      <c r="G336" s="19"/>
      <c r="H336" s="19"/>
      <c r="I336" s="19"/>
      <c r="J336" s="19"/>
      <c r="K336" s="19"/>
    </row>
    <row r="337" spans="1:11" x14ac:dyDescent="0.2">
      <c r="A337" s="3"/>
      <c r="B337" s="4"/>
      <c r="D337" s="3"/>
      <c r="E337" s="4"/>
      <c r="F337" s="4"/>
      <c r="G337" s="4"/>
      <c r="H337" s="4"/>
      <c r="I337" s="4"/>
      <c r="J337" s="4"/>
      <c r="K337" s="4"/>
    </row>
    <row r="338" spans="1:11" x14ac:dyDescent="0.2">
      <c r="A338" s="3"/>
      <c r="B338" s="4"/>
      <c r="D338" s="3"/>
      <c r="E338" s="4"/>
      <c r="F338" s="4"/>
      <c r="G338" s="4"/>
      <c r="H338" s="4"/>
      <c r="I338" s="4"/>
      <c r="J338" s="4"/>
      <c r="K338" s="4"/>
    </row>
  </sheetData>
  <mergeCells count="9">
    <mergeCell ref="C4:F4"/>
    <mergeCell ref="B9:G9"/>
    <mergeCell ref="H9:K9"/>
    <mergeCell ref="L9:O9"/>
    <mergeCell ref="H10:H11"/>
    <mergeCell ref="I10:I11"/>
    <mergeCell ref="J10:J11"/>
    <mergeCell ref="K10:K11"/>
    <mergeCell ref="L1:M3"/>
  </mergeCells>
  <dataValidations disablePrompts="1" count="5">
    <dataValidation type="list" allowBlank="1" showInputMessage="1" sqref="F12:K13" xr:uid="{94772E72-F52F-402D-AD03-A9426A18F479}">
      <formula1>$C$314:$C$334</formula1>
    </dataValidation>
    <dataValidation type="list" allowBlank="1" showInputMessage="1" sqref="N12:N54" xr:uid="{4CF235E7-BBDD-4F62-BD13-254295512BDB}">
      <formula1>$D$314:$D$318</formula1>
    </dataValidation>
    <dataValidation type="list" allowBlank="1" showInputMessage="1" sqref="E12:E54" xr:uid="{53145C97-0679-4B25-9B45-81A54AE15066}">
      <formula1>$B$314:$B$320</formula1>
    </dataValidation>
    <dataValidation type="list" allowBlank="1" showInputMessage="1" sqref="M12:M54" xr:uid="{789AAD80-62E5-481A-AA49-4B1E3D6099B0}">
      <formula1>$E$314:$E$321</formula1>
    </dataValidation>
    <dataValidation type="list" allowBlank="1" showInputMessage="1" sqref="C13:C54" xr:uid="{1D030F5F-E46D-40DB-A2A7-BE24BEC486D8}">
      <formula1>$A$314:$A$323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81BF-77EB-4EF3-BC34-4D87337753FD}">
  <dimension ref="A1:AC313"/>
  <sheetViews>
    <sheetView zoomScale="150" zoomScaleNormal="150" workbookViewId="0">
      <selection activeCell="L32" sqref="L32"/>
    </sheetView>
  </sheetViews>
  <sheetFormatPr defaultRowHeight="12.75" x14ac:dyDescent="0.2"/>
  <cols>
    <col min="1" max="1" width="5.7109375" customWidth="1"/>
    <col min="2" max="2" width="6.5703125" style="2" customWidth="1"/>
    <col min="3" max="3" width="7.28515625" style="2" bestFit="1" customWidth="1"/>
    <col min="4" max="4" width="18.28515625" customWidth="1"/>
    <col min="5" max="5" width="12.85546875" style="2" customWidth="1"/>
    <col min="6" max="6" width="10.7109375" style="2" bestFit="1" customWidth="1"/>
    <col min="7" max="7" width="10.7109375" style="2" customWidth="1"/>
    <col min="8" max="11" width="4.7109375" style="2" customWidth="1"/>
    <col min="12" max="12" width="36.28515625" customWidth="1"/>
    <col min="13" max="13" width="17.28515625" customWidth="1"/>
    <col min="14" max="14" width="4.7109375" style="2" customWidth="1"/>
    <col min="15" max="15" width="10.28515625" style="2" bestFit="1" customWidth="1"/>
    <col min="16" max="18" width="7.85546875" style="2" customWidth="1"/>
    <col min="19" max="19" width="22.42578125" customWidth="1"/>
    <col min="20" max="20" width="24.28515625" customWidth="1"/>
    <col min="21" max="21" width="18" customWidth="1"/>
    <col min="22" max="22" width="53.28515625" customWidth="1"/>
    <col min="23" max="23" width="18.5703125" customWidth="1"/>
    <col min="27" max="27" width="11.140625" customWidth="1"/>
  </cols>
  <sheetData>
    <row r="1" spans="1:29" ht="13.15" customHeight="1" x14ac:dyDescent="0.2">
      <c r="L1" s="136" t="s">
        <v>0</v>
      </c>
      <c r="M1" s="137"/>
    </row>
    <row r="2" spans="1:29" ht="13.15" customHeight="1" x14ac:dyDescent="0.2">
      <c r="L2" s="136"/>
      <c r="M2" s="137"/>
    </row>
    <row r="3" spans="1:29" ht="13.15" customHeight="1" x14ac:dyDescent="0.2">
      <c r="A3" s="13"/>
      <c r="B3" s="14"/>
      <c r="C3" s="14"/>
      <c r="D3" s="13"/>
      <c r="E3" s="14"/>
      <c r="F3" s="14"/>
      <c r="G3" s="14"/>
      <c r="H3" s="14"/>
      <c r="I3" s="14"/>
      <c r="J3" s="14"/>
      <c r="K3" s="14"/>
      <c r="L3" s="136"/>
      <c r="M3" s="137"/>
      <c r="N3" s="15"/>
      <c r="O3" s="14"/>
      <c r="P3" s="14"/>
      <c r="Q3" s="14"/>
      <c r="R3" s="14"/>
      <c r="S3" s="14"/>
      <c r="T3" s="14"/>
      <c r="U3" s="14"/>
      <c r="V3" s="14"/>
      <c r="W3" s="14"/>
    </row>
    <row r="4" spans="1:29" ht="11.45" customHeight="1" x14ac:dyDescent="0.2">
      <c r="A4" s="16" t="s">
        <v>1</v>
      </c>
      <c r="B4" s="15"/>
      <c r="C4" s="134" t="s">
        <v>94</v>
      </c>
      <c r="D4" s="135"/>
      <c r="E4" s="135"/>
      <c r="F4" s="135"/>
      <c r="G4" s="15"/>
      <c r="H4" s="15"/>
      <c r="I4" s="15"/>
      <c r="J4" s="15"/>
      <c r="K4" s="15"/>
      <c r="L4" s="17" t="s">
        <v>2</v>
      </c>
      <c r="M4" s="20" t="s">
        <v>96</v>
      </c>
      <c r="N4" s="15"/>
      <c r="O4" s="17" t="s">
        <v>3</v>
      </c>
      <c r="P4" s="17" t="s">
        <v>97</v>
      </c>
      <c r="Q4" s="17"/>
      <c r="R4" s="17"/>
      <c r="S4" s="13"/>
      <c r="T4" s="13"/>
      <c r="U4" s="13"/>
      <c r="V4" s="13"/>
      <c r="W4" s="13"/>
    </row>
    <row r="5" spans="1:29" ht="11.45" customHeight="1" x14ac:dyDescent="0.2">
      <c r="A5" s="13"/>
      <c r="B5" s="14"/>
      <c r="C5" s="16"/>
      <c r="D5" s="13"/>
      <c r="E5" s="14"/>
      <c r="F5" s="14"/>
      <c r="G5" s="14"/>
      <c r="H5" s="14"/>
      <c r="I5" s="14"/>
      <c r="J5" s="14"/>
      <c r="K5" s="14"/>
      <c r="L5" s="17"/>
      <c r="M5" s="16"/>
      <c r="N5" s="15"/>
      <c r="O5" s="17" t="s">
        <v>4</v>
      </c>
      <c r="P5" s="17"/>
      <c r="Q5" s="17"/>
      <c r="R5" s="17"/>
      <c r="S5" s="13"/>
      <c r="T5" s="13"/>
      <c r="U5" s="13"/>
      <c r="V5" s="13"/>
      <c r="W5" s="13"/>
    </row>
    <row r="6" spans="1:29" ht="11.45" customHeight="1" x14ac:dyDescent="0.2">
      <c r="A6" s="16" t="s">
        <v>269</v>
      </c>
      <c r="B6" s="14"/>
      <c r="C6" s="30" t="s">
        <v>293</v>
      </c>
      <c r="D6" s="13"/>
      <c r="E6" s="55"/>
      <c r="F6" s="14"/>
      <c r="G6" s="14"/>
      <c r="H6" s="14"/>
      <c r="I6" s="14"/>
      <c r="J6" s="14"/>
      <c r="K6" s="14"/>
      <c r="L6" s="17" t="s">
        <v>5</v>
      </c>
      <c r="M6" s="21">
        <v>46180</v>
      </c>
      <c r="N6" s="14" t="s">
        <v>6</v>
      </c>
      <c r="O6" s="17" t="s">
        <v>7</v>
      </c>
      <c r="P6" s="17"/>
      <c r="Q6" s="17"/>
      <c r="R6" s="17"/>
      <c r="S6" s="13"/>
      <c r="T6" s="13"/>
      <c r="U6" s="13"/>
      <c r="V6" s="13"/>
      <c r="W6" s="13"/>
    </row>
    <row r="7" spans="1:29" ht="11.45" customHeight="1" x14ac:dyDescent="0.2">
      <c r="C7" s="50"/>
      <c r="L7" s="54" t="s">
        <v>273</v>
      </c>
    </row>
    <row r="8" spans="1:29" ht="11.45" customHeight="1" thickBot="1" x14ac:dyDescent="0.25">
      <c r="A8" s="13"/>
      <c r="B8" s="14"/>
      <c r="C8" s="14"/>
      <c r="D8" s="13"/>
      <c r="E8" s="14"/>
      <c r="F8" s="14"/>
      <c r="G8" s="14"/>
      <c r="H8" s="14"/>
      <c r="I8" s="14"/>
      <c r="J8" s="14"/>
      <c r="K8" s="14"/>
      <c r="L8" s="17" t="s">
        <v>6</v>
      </c>
      <c r="M8" s="13"/>
      <c r="N8" s="14"/>
      <c r="O8" s="14"/>
      <c r="P8" s="14"/>
      <c r="Q8" s="14"/>
      <c r="R8" s="14"/>
      <c r="S8" s="13"/>
      <c r="T8" s="13"/>
      <c r="U8" s="13"/>
      <c r="V8" s="13"/>
      <c r="W8" s="13"/>
    </row>
    <row r="9" spans="1:29" ht="11.45" customHeight="1" x14ac:dyDescent="0.2">
      <c r="A9" s="27"/>
      <c r="B9" s="140" t="s">
        <v>8</v>
      </c>
      <c r="C9" s="141"/>
      <c r="D9" s="141"/>
      <c r="E9" s="141"/>
      <c r="F9" s="141"/>
      <c r="G9" s="142"/>
      <c r="H9" s="143" t="s">
        <v>101</v>
      </c>
      <c r="I9" s="144"/>
      <c r="J9" s="144"/>
      <c r="K9" s="145"/>
      <c r="L9" s="132" t="s">
        <v>9</v>
      </c>
      <c r="M9" s="133"/>
      <c r="N9" s="133"/>
      <c r="O9" s="133"/>
      <c r="P9" s="23"/>
      <c r="Q9" s="23"/>
      <c r="R9" s="23"/>
      <c r="S9" s="22" t="s">
        <v>6</v>
      </c>
      <c r="T9" s="22"/>
      <c r="U9" s="22" t="s">
        <v>6</v>
      </c>
      <c r="V9" s="22" t="s">
        <v>6</v>
      </c>
      <c r="W9" s="22" t="s">
        <v>6</v>
      </c>
      <c r="X9" s="3"/>
      <c r="Y9" s="3"/>
      <c r="Z9" s="3"/>
      <c r="AA9" s="3"/>
      <c r="AB9" s="3"/>
      <c r="AC9" s="3"/>
    </row>
    <row r="10" spans="1:29" s="1" customFormat="1" ht="11.45" customHeight="1" thickBot="1" x14ac:dyDescent="0.25">
      <c r="A10" s="31" t="s">
        <v>10</v>
      </c>
      <c r="B10" s="32" t="s">
        <v>11</v>
      </c>
      <c r="C10" s="33" t="s">
        <v>12</v>
      </c>
      <c r="D10" s="33" t="s">
        <v>13</v>
      </c>
      <c r="E10" s="33" t="s">
        <v>10</v>
      </c>
      <c r="F10" s="34" t="s">
        <v>14</v>
      </c>
      <c r="G10" s="35" t="s">
        <v>15</v>
      </c>
      <c r="H10" s="138" t="s">
        <v>102</v>
      </c>
      <c r="I10" s="138" t="s">
        <v>100</v>
      </c>
      <c r="J10" s="138" t="s">
        <v>89</v>
      </c>
      <c r="K10" s="138" t="s">
        <v>36</v>
      </c>
      <c r="L10" s="36" t="s">
        <v>16</v>
      </c>
      <c r="M10" s="37" t="s">
        <v>13</v>
      </c>
      <c r="N10" s="37" t="s">
        <v>17</v>
      </c>
      <c r="O10" s="37" t="s">
        <v>18</v>
      </c>
      <c r="P10" s="38" t="s">
        <v>19</v>
      </c>
      <c r="Q10" s="38" t="s">
        <v>20</v>
      </c>
      <c r="R10" s="39" t="s">
        <v>21</v>
      </c>
      <c r="S10" s="40" t="s">
        <v>22</v>
      </c>
      <c r="T10" s="60" t="s">
        <v>85</v>
      </c>
      <c r="U10" s="60" t="s">
        <v>85</v>
      </c>
      <c r="V10" s="41" t="s">
        <v>85</v>
      </c>
      <c r="W10" s="41" t="s">
        <v>85</v>
      </c>
    </row>
    <row r="11" spans="1:29" s="1" customFormat="1" ht="11.45" customHeight="1" thickBot="1" x14ac:dyDescent="0.25">
      <c r="A11" s="42" t="s">
        <v>23</v>
      </c>
      <c r="B11" s="43" t="s">
        <v>23</v>
      </c>
      <c r="C11" s="44" t="s">
        <v>24</v>
      </c>
      <c r="D11" s="44" t="s">
        <v>23</v>
      </c>
      <c r="E11" s="44" t="s">
        <v>25</v>
      </c>
      <c r="F11" s="44" t="s">
        <v>26</v>
      </c>
      <c r="G11" s="35" t="s">
        <v>27</v>
      </c>
      <c r="H11" s="139"/>
      <c r="I11" s="139"/>
      <c r="J11" s="139"/>
      <c r="K11" s="139"/>
      <c r="L11" s="45"/>
      <c r="M11" s="46" t="s">
        <v>28</v>
      </c>
      <c r="N11" s="46"/>
      <c r="O11" s="46" t="s">
        <v>29</v>
      </c>
      <c r="P11" s="47" t="s">
        <v>30</v>
      </c>
      <c r="Q11" s="47" t="s">
        <v>31</v>
      </c>
      <c r="R11" s="48" t="s">
        <v>32</v>
      </c>
      <c r="S11" s="49"/>
      <c r="T11" s="49" t="s">
        <v>110</v>
      </c>
      <c r="U11" s="49" t="s">
        <v>84</v>
      </c>
      <c r="V11" s="49" t="s">
        <v>243</v>
      </c>
      <c r="W11" s="49" t="s">
        <v>86</v>
      </c>
    </row>
    <row r="12" spans="1:29" ht="11.45" customHeight="1" thickBot="1" x14ac:dyDescent="0.25">
      <c r="A12" s="60"/>
      <c r="B12" s="61"/>
      <c r="C12" s="62"/>
      <c r="D12" s="63"/>
      <c r="E12" s="64"/>
      <c r="F12" s="62"/>
      <c r="G12" s="62"/>
      <c r="H12" s="65"/>
      <c r="I12" s="65"/>
      <c r="J12" s="65"/>
      <c r="K12" s="65"/>
      <c r="L12" s="66"/>
      <c r="M12" s="63"/>
      <c r="N12" s="62"/>
      <c r="O12" s="62"/>
      <c r="P12" s="62"/>
      <c r="Q12" s="62"/>
      <c r="R12" s="62"/>
      <c r="S12" s="66"/>
      <c r="T12" s="66"/>
      <c r="U12" s="63" t="s">
        <v>39</v>
      </c>
      <c r="V12" s="66"/>
      <c r="W12" s="63"/>
      <c r="AB12" s="3"/>
      <c r="AC12" s="3"/>
    </row>
    <row r="13" spans="1:29" ht="11.45" customHeight="1" thickTop="1" x14ac:dyDescent="0.2">
      <c r="A13" s="67"/>
      <c r="B13" s="68"/>
      <c r="C13" s="69"/>
      <c r="D13" s="70"/>
      <c r="E13" s="71"/>
      <c r="F13" s="69"/>
      <c r="G13" s="75"/>
      <c r="H13" s="69"/>
      <c r="I13" s="69"/>
      <c r="J13" s="69"/>
      <c r="K13" s="69"/>
      <c r="L13" s="76" t="s">
        <v>294</v>
      </c>
      <c r="M13" s="77"/>
      <c r="N13" s="69"/>
      <c r="O13" s="69"/>
      <c r="P13" s="69"/>
      <c r="Q13" s="69"/>
      <c r="R13" s="69"/>
      <c r="S13" s="72"/>
      <c r="T13" s="72"/>
      <c r="U13" s="73"/>
      <c r="V13" s="72"/>
      <c r="W13" s="72"/>
      <c r="AB13" s="3"/>
      <c r="AC13" s="3"/>
    </row>
    <row r="14" spans="1:29" ht="11.45" customHeight="1" x14ac:dyDescent="0.2">
      <c r="A14" s="59"/>
      <c r="B14" s="26"/>
      <c r="C14" s="24"/>
      <c r="D14" s="57"/>
      <c r="E14" s="28"/>
      <c r="F14" s="24"/>
      <c r="G14" s="56"/>
      <c r="H14" s="24"/>
      <c r="I14" s="24"/>
      <c r="J14" s="24"/>
      <c r="K14" s="24"/>
      <c r="L14" s="25"/>
      <c r="M14" s="25"/>
      <c r="N14" s="24"/>
      <c r="O14" s="24"/>
      <c r="P14" s="24"/>
      <c r="Q14" s="24"/>
      <c r="R14" s="24"/>
      <c r="S14" s="51"/>
      <c r="T14" s="51"/>
      <c r="U14" s="52"/>
      <c r="V14" s="51"/>
      <c r="W14" s="78"/>
      <c r="AB14" s="3"/>
      <c r="AC14" s="3"/>
    </row>
    <row r="15" spans="1:29" ht="11.45" customHeight="1" x14ac:dyDescent="0.2">
      <c r="A15" s="59"/>
      <c r="B15" s="26"/>
      <c r="C15" s="24"/>
      <c r="D15" s="57"/>
      <c r="E15" s="28"/>
      <c r="F15" s="24"/>
      <c r="G15" s="56"/>
      <c r="H15" s="24"/>
      <c r="I15" s="24"/>
      <c r="J15" s="24"/>
      <c r="K15" s="24"/>
      <c r="L15" s="118" t="s">
        <v>272</v>
      </c>
      <c r="M15" s="25"/>
      <c r="N15" s="24"/>
      <c r="O15" s="24"/>
      <c r="P15" s="24"/>
      <c r="Q15" s="24"/>
      <c r="R15" s="24"/>
      <c r="S15" s="52"/>
      <c r="T15" s="52"/>
      <c r="U15" s="52"/>
      <c r="V15" s="51"/>
      <c r="W15" s="78"/>
      <c r="AB15" s="3"/>
      <c r="AC15" s="3"/>
    </row>
    <row r="16" spans="1:29" s="130" customFormat="1" ht="11.45" customHeight="1" x14ac:dyDescent="0.2">
      <c r="A16" s="128"/>
      <c r="B16" s="83">
        <v>206</v>
      </c>
      <c r="C16" s="84" t="s">
        <v>34</v>
      </c>
      <c r="D16" s="85" t="s">
        <v>274</v>
      </c>
      <c r="E16" s="86" t="s">
        <v>41</v>
      </c>
      <c r="F16" s="84" t="s">
        <v>245</v>
      </c>
      <c r="G16" s="89">
        <v>4</v>
      </c>
      <c r="H16" s="84"/>
      <c r="I16" s="84"/>
      <c r="J16" s="84"/>
      <c r="K16" s="84"/>
      <c r="L16" s="129" t="s">
        <v>279</v>
      </c>
      <c r="M16" s="87" t="s">
        <v>49</v>
      </c>
      <c r="N16" s="84"/>
      <c r="O16" s="84" t="s">
        <v>275</v>
      </c>
      <c r="P16" s="84" t="s">
        <v>276</v>
      </c>
      <c r="Q16" s="84" t="s">
        <v>87</v>
      </c>
      <c r="R16" s="84" t="s">
        <v>277</v>
      </c>
      <c r="S16" s="87"/>
      <c r="T16" s="25" t="s">
        <v>177</v>
      </c>
      <c r="U16" s="53" t="s">
        <v>39</v>
      </c>
      <c r="V16" s="25" t="s">
        <v>278</v>
      </c>
      <c r="W16" s="53" t="s">
        <v>130</v>
      </c>
    </row>
    <row r="17" spans="1:29" s="130" customFormat="1" ht="11.45" customHeight="1" x14ac:dyDescent="0.2">
      <c r="A17" s="128"/>
      <c r="B17" s="83">
        <v>206</v>
      </c>
      <c r="C17" s="131" t="s">
        <v>281</v>
      </c>
      <c r="D17" s="85"/>
      <c r="E17" s="86" t="s">
        <v>282</v>
      </c>
      <c r="F17" s="84" t="s">
        <v>245</v>
      </c>
      <c r="G17" s="89">
        <v>1.5</v>
      </c>
      <c r="H17" s="84"/>
      <c r="I17" s="84"/>
      <c r="J17" s="84"/>
      <c r="K17" s="84"/>
      <c r="L17" s="129" t="s">
        <v>283</v>
      </c>
      <c r="M17" s="87" t="s">
        <v>285</v>
      </c>
      <c r="N17" s="84" t="s">
        <v>55</v>
      </c>
      <c r="O17" s="84" t="s">
        <v>280</v>
      </c>
      <c r="P17" s="84"/>
      <c r="Q17" s="84"/>
      <c r="R17" s="84"/>
      <c r="S17" s="87"/>
      <c r="T17" s="53" t="s">
        <v>39</v>
      </c>
      <c r="U17" s="53" t="s">
        <v>39</v>
      </c>
      <c r="V17" s="25" t="s">
        <v>284</v>
      </c>
      <c r="W17" s="53" t="s">
        <v>132</v>
      </c>
    </row>
    <row r="18" spans="1:29" s="3" customFormat="1" ht="11.45" customHeight="1" x14ac:dyDescent="0.2">
      <c r="A18" s="59"/>
      <c r="B18" s="26">
        <v>206</v>
      </c>
      <c r="C18" s="24" t="s">
        <v>34</v>
      </c>
      <c r="D18" s="58" t="s">
        <v>274</v>
      </c>
      <c r="E18" s="28" t="s">
        <v>41</v>
      </c>
      <c r="F18" s="24" t="s">
        <v>245</v>
      </c>
      <c r="G18" s="56">
        <v>4</v>
      </c>
      <c r="H18" s="24"/>
      <c r="I18" s="24"/>
      <c r="J18" s="24"/>
      <c r="K18" s="24"/>
      <c r="L18" s="25" t="s">
        <v>289</v>
      </c>
      <c r="M18" s="25"/>
      <c r="N18" s="24" t="s">
        <v>35</v>
      </c>
      <c r="O18" s="24" t="s">
        <v>280</v>
      </c>
      <c r="P18" s="24"/>
      <c r="Q18" s="24"/>
      <c r="R18" s="24"/>
      <c r="S18" s="25"/>
      <c r="T18" s="25" t="s">
        <v>288</v>
      </c>
      <c r="U18" s="53" t="s">
        <v>39</v>
      </c>
      <c r="V18" s="25" t="s">
        <v>157</v>
      </c>
      <c r="W18" s="25" t="s">
        <v>131</v>
      </c>
    </row>
    <row r="19" spans="1:29" s="3" customFormat="1" ht="11.45" customHeight="1" x14ac:dyDescent="0.2">
      <c r="A19" s="59"/>
      <c r="B19" s="26">
        <v>206</v>
      </c>
      <c r="C19" s="24" t="s">
        <v>33</v>
      </c>
      <c r="D19" s="58" t="s">
        <v>286</v>
      </c>
      <c r="E19" s="28" t="s">
        <v>40</v>
      </c>
      <c r="F19" s="24">
        <v>2</v>
      </c>
      <c r="G19" s="99">
        <v>0.8</v>
      </c>
      <c r="H19" s="24"/>
      <c r="I19" s="24"/>
      <c r="J19" s="24"/>
      <c r="K19" s="24">
        <v>1</v>
      </c>
      <c r="L19" s="25" t="s">
        <v>290</v>
      </c>
      <c r="M19" s="25"/>
      <c r="N19" s="24"/>
      <c r="O19" s="24" t="s">
        <v>280</v>
      </c>
      <c r="P19" s="24"/>
      <c r="Q19" s="24"/>
      <c r="R19" s="24"/>
      <c r="S19" s="25"/>
      <c r="T19" s="53" t="s">
        <v>39</v>
      </c>
      <c r="U19" s="53" t="s">
        <v>39</v>
      </c>
      <c r="V19" s="25" t="s">
        <v>106</v>
      </c>
      <c r="W19" s="25" t="s">
        <v>130</v>
      </c>
    </row>
    <row r="20" spans="1:29" s="3" customFormat="1" ht="11.45" customHeight="1" x14ac:dyDescent="0.2">
      <c r="A20" s="59"/>
      <c r="B20" s="26">
        <v>206</v>
      </c>
      <c r="C20" s="24" t="s">
        <v>33</v>
      </c>
      <c r="D20" s="58" t="s">
        <v>287</v>
      </c>
      <c r="E20" s="28" t="s">
        <v>38</v>
      </c>
      <c r="F20" s="24">
        <v>3</v>
      </c>
      <c r="G20" s="99">
        <v>0.8</v>
      </c>
      <c r="H20" s="24"/>
      <c r="I20" s="24">
        <v>1</v>
      </c>
      <c r="J20" s="24"/>
      <c r="K20" s="24"/>
      <c r="L20" s="25" t="s">
        <v>291</v>
      </c>
      <c r="M20" s="25"/>
      <c r="N20" s="24"/>
      <c r="O20" s="24" t="s">
        <v>280</v>
      </c>
      <c r="P20" s="24"/>
      <c r="Q20" s="24"/>
      <c r="R20" s="24"/>
      <c r="S20" s="25"/>
      <c r="T20" s="53" t="s">
        <v>39</v>
      </c>
      <c r="U20" s="53" t="s">
        <v>39</v>
      </c>
      <c r="V20" s="25" t="s">
        <v>106</v>
      </c>
      <c r="W20" s="25" t="s">
        <v>132</v>
      </c>
    </row>
    <row r="21" spans="1:29" ht="11.45" customHeight="1" x14ac:dyDescent="0.2">
      <c r="A21" s="59"/>
      <c r="B21" s="26">
        <v>206</v>
      </c>
      <c r="C21" s="24" t="s">
        <v>33</v>
      </c>
      <c r="D21" s="58" t="s">
        <v>128</v>
      </c>
      <c r="E21" s="28" t="s">
        <v>38</v>
      </c>
      <c r="F21" s="24">
        <v>3</v>
      </c>
      <c r="G21" s="99">
        <v>0.8</v>
      </c>
      <c r="H21" s="24">
        <v>1</v>
      </c>
      <c r="I21" s="24"/>
      <c r="J21" s="24"/>
      <c r="K21" s="24"/>
      <c r="L21" s="25" t="s">
        <v>292</v>
      </c>
      <c r="M21" s="25"/>
      <c r="N21" s="24"/>
      <c r="O21" s="24" t="s">
        <v>280</v>
      </c>
      <c r="P21" s="24"/>
      <c r="Q21" s="24"/>
      <c r="R21" s="24"/>
      <c r="S21" s="25"/>
      <c r="T21" s="53" t="s">
        <v>39</v>
      </c>
      <c r="U21" s="53" t="s">
        <v>39</v>
      </c>
      <c r="V21" s="25" t="s">
        <v>106</v>
      </c>
      <c r="W21" s="78" t="s">
        <v>132</v>
      </c>
      <c r="AB21" s="3"/>
      <c r="AC21" s="3"/>
    </row>
    <row r="22" spans="1:29" ht="11.45" customHeight="1" x14ac:dyDescent="0.2">
      <c r="A22" s="59"/>
      <c r="B22" s="26"/>
      <c r="C22" s="24"/>
      <c r="D22" s="57"/>
      <c r="E22" s="28"/>
      <c r="F22" s="24"/>
      <c r="G22" s="56"/>
      <c r="H22" s="24"/>
      <c r="I22" s="24"/>
      <c r="J22" s="24"/>
      <c r="K22" s="24"/>
      <c r="L22" s="118"/>
      <c r="M22" s="25"/>
      <c r="N22" s="24"/>
      <c r="O22" s="24"/>
      <c r="P22" s="24"/>
      <c r="Q22" s="24"/>
      <c r="R22" s="24"/>
      <c r="S22" s="52"/>
      <c r="T22" s="52"/>
      <c r="U22" s="52"/>
      <c r="V22" s="51"/>
      <c r="W22" s="78"/>
      <c r="AB22" s="3"/>
      <c r="AC22" s="3"/>
    </row>
    <row r="23" spans="1:29" ht="11.45" customHeight="1" x14ac:dyDescent="0.2">
      <c r="A23" s="59"/>
      <c r="B23" s="26"/>
      <c r="C23" s="24"/>
      <c r="D23" s="57"/>
      <c r="E23" s="28"/>
      <c r="F23" s="24"/>
      <c r="G23" s="56"/>
      <c r="H23" s="24"/>
      <c r="I23" s="24"/>
      <c r="J23" s="24"/>
      <c r="K23" s="24"/>
      <c r="L23" s="79"/>
      <c r="M23" s="25"/>
      <c r="N23" s="24"/>
      <c r="O23" s="24"/>
      <c r="P23" s="24"/>
      <c r="Q23" s="24"/>
      <c r="R23" s="24"/>
      <c r="S23" s="52"/>
      <c r="T23" s="52"/>
      <c r="U23" s="80"/>
      <c r="V23" s="51"/>
      <c r="W23" s="78"/>
      <c r="AB23" s="3"/>
      <c r="AC23" s="3"/>
    </row>
    <row r="24" spans="1:29" ht="11.45" customHeight="1" x14ac:dyDescent="0.2">
      <c r="A24" s="59"/>
      <c r="B24" s="83"/>
      <c r="C24" s="84"/>
      <c r="D24" s="88"/>
      <c r="E24" s="86"/>
      <c r="F24" s="114"/>
      <c r="G24" s="116"/>
      <c r="H24" s="114"/>
      <c r="I24" s="114"/>
      <c r="J24" s="114"/>
      <c r="K24" s="114"/>
      <c r="L24" s="87"/>
      <c r="M24" s="87"/>
      <c r="N24" s="84"/>
      <c r="O24" s="84"/>
      <c r="P24" s="84"/>
      <c r="Q24" s="84"/>
      <c r="R24" s="84"/>
      <c r="S24" s="87"/>
      <c r="T24" s="87"/>
      <c r="U24" s="51"/>
      <c r="V24" s="78"/>
      <c r="W24" s="51"/>
      <c r="AB24" s="3"/>
      <c r="AC24" s="3"/>
    </row>
    <row r="25" spans="1:29" ht="11.45" customHeight="1" x14ac:dyDescent="0.2">
      <c r="A25" s="59"/>
      <c r="B25" s="26"/>
      <c r="C25" s="24"/>
      <c r="D25" s="57"/>
      <c r="E25" s="28"/>
      <c r="F25" s="24"/>
      <c r="G25" s="99"/>
      <c r="H25" s="24"/>
      <c r="I25" s="24"/>
      <c r="J25" s="24"/>
      <c r="K25" s="24"/>
      <c r="L25" s="25"/>
      <c r="M25" s="25"/>
      <c r="N25" s="24"/>
      <c r="O25" s="24"/>
      <c r="P25" s="24"/>
      <c r="Q25" s="24"/>
      <c r="R25" s="24"/>
      <c r="S25" s="25"/>
      <c r="T25" s="25"/>
      <c r="U25" s="80"/>
      <c r="V25" s="78"/>
      <c r="W25" s="78"/>
      <c r="AB25" s="3"/>
      <c r="AC25" s="3"/>
    </row>
    <row r="26" spans="1:29" ht="11.45" customHeight="1" thickBot="1" x14ac:dyDescent="0.25">
      <c r="A26" s="60"/>
      <c r="B26" s="61"/>
      <c r="C26" s="62"/>
      <c r="D26" s="101"/>
      <c r="E26" s="64"/>
      <c r="F26" s="62"/>
      <c r="G26" s="102"/>
      <c r="H26" s="62"/>
      <c r="I26" s="62"/>
      <c r="J26" s="62"/>
      <c r="K26" s="62"/>
      <c r="L26" s="66"/>
      <c r="M26" s="66"/>
      <c r="N26" s="62"/>
      <c r="O26" s="62"/>
      <c r="P26" s="62"/>
      <c r="Q26" s="62"/>
      <c r="R26" s="62"/>
      <c r="S26" s="66"/>
      <c r="T26" s="66"/>
      <c r="U26" s="66"/>
      <c r="V26" s="66"/>
      <c r="W26" s="66"/>
      <c r="AB26" s="3"/>
      <c r="AC26" s="3"/>
    </row>
    <row r="27" spans="1:29" ht="11.45" customHeight="1" thickTop="1" x14ac:dyDescent="0.2">
      <c r="A27" s="103"/>
      <c r="B27" s="104"/>
      <c r="C27" s="104"/>
      <c r="D27" s="105"/>
      <c r="E27" s="106"/>
      <c r="F27" s="104"/>
      <c r="G27" s="119" t="s">
        <v>225</v>
      </c>
      <c r="H27" s="113">
        <f>SUM(H13:H24)</f>
        <v>1</v>
      </c>
      <c r="I27" s="113">
        <f>SUM(I13:I24)</f>
        <v>1</v>
      </c>
      <c r="J27" s="113">
        <f>SUM(J14:J26)</f>
        <v>0</v>
      </c>
      <c r="K27" s="113">
        <f>SUM(K13:K24)</f>
        <v>1</v>
      </c>
      <c r="L27" s="107"/>
      <c r="M27" s="107"/>
      <c r="N27" s="104"/>
      <c r="O27" s="104"/>
      <c r="P27" s="104"/>
      <c r="Q27" s="104"/>
      <c r="R27" s="104"/>
      <c r="S27" s="107"/>
      <c r="T27" s="107"/>
      <c r="U27" s="107"/>
      <c r="V27" s="107"/>
      <c r="W27" s="107"/>
      <c r="AB27" s="3"/>
      <c r="AC27" s="3"/>
    </row>
    <row r="28" spans="1:29" ht="11.45" customHeight="1" x14ac:dyDescent="0.2">
      <c r="A28" s="108"/>
      <c r="B28" s="14"/>
      <c r="C28" s="14"/>
      <c r="D28" s="109"/>
      <c r="E28" s="110"/>
      <c r="F28" s="14"/>
      <c r="G28" s="122" t="s">
        <v>263</v>
      </c>
      <c r="H28" s="14">
        <v>1</v>
      </c>
      <c r="I28" s="14">
        <v>1</v>
      </c>
      <c r="J28" s="14">
        <v>0</v>
      </c>
      <c r="K28" s="14">
        <v>1</v>
      </c>
      <c r="L28" s="13"/>
      <c r="M28" s="13"/>
      <c r="N28" s="14"/>
      <c r="O28" s="14"/>
      <c r="P28" s="14"/>
      <c r="Q28" s="14"/>
      <c r="R28" s="14"/>
      <c r="S28" s="13"/>
      <c r="T28" s="13"/>
      <c r="U28" s="13"/>
      <c r="V28" s="13"/>
      <c r="W28" s="13"/>
      <c r="AB28" s="3"/>
      <c r="AC28" s="3"/>
    </row>
    <row r="29" spans="1:29" ht="11.45" customHeight="1" x14ac:dyDescent="0.2">
      <c r="A29" s="108"/>
      <c r="B29" s="14"/>
      <c r="C29" s="14"/>
      <c r="D29" s="109"/>
      <c r="E29" s="110"/>
      <c r="F29" s="14"/>
      <c r="G29" s="120" t="s">
        <v>264</v>
      </c>
      <c r="H29" s="121"/>
      <c r="I29" s="121"/>
      <c r="J29" s="121"/>
      <c r="K29" s="121"/>
      <c r="L29" s="13"/>
      <c r="M29" s="111"/>
      <c r="N29" s="14"/>
      <c r="O29" s="14"/>
      <c r="P29" s="14"/>
      <c r="Q29" s="14"/>
      <c r="R29" s="14"/>
      <c r="S29" s="13"/>
      <c r="T29" s="13"/>
      <c r="U29" s="13"/>
      <c r="V29" s="13"/>
      <c r="W29" s="13"/>
      <c r="AB29" s="3"/>
      <c r="AC29" s="3"/>
    </row>
    <row r="30" spans="1:29" s="3" customFormat="1" x14ac:dyDescent="0.2">
      <c r="B30" s="4"/>
      <c r="C30" s="4"/>
      <c r="E30" s="4"/>
      <c r="F30" s="4"/>
      <c r="G30" s="4"/>
      <c r="H30" s="4"/>
      <c r="I30" s="4"/>
      <c r="J30" s="4"/>
      <c r="K30" s="4"/>
      <c r="N30" s="4"/>
      <c r="O30" s="4"/>
      <c r="P30" s="4"/>
      <c r="Q30" s="4"/>
      <c r="R30" s="4"/>
    </row>
    <row r="31" spans="1:29" s="3" customFormat="1" x14ac:dyDescent="0.2">
      <c r="B31" s="4"/>
      <c r="C31" s="4"/>
      <c r="E31" s="4"/>
      <c r="F31" s="4"/>
      <c r="G31" s="4"/>
      <c r="H31" s="4"/>
      <c r="I31" s="4"/>
      <c r="J31" s="4"/>
      <c r="K31" s="4"/>
      <c r="N31" s="4"/>
      <c r="O31" s="4"/>
      <c r="P31" s="4"/>
      <c r="Q31" s="4"/>
      <c r="R31" s="4"/>
    </row>
    <row r="32" spans="1:29" s="3" customFormat="1" x14ac:dyDescent="0.2">
      <c r="B32" s="4"/>
      <c r="C32" s="4"/>
      <c r="E32" s="4"/>
      <c r="F32" s="4"/>
      <c r="G32" s="4"/>
      <c r="H32" s="4"/>
      <c r="I32" s="4"/>
      <c r="J32" s="4"/>
      <c r="K32" s="4"/>
      <c r="N32" s="4"/>
      <c r="O32" s="4"/>
      <c r="P32" s="4"/>
      <c r="Q32" s="4"/>
      <c r="R32" s="4"/>
    </row>
    <row r="33" spans="2:18" s="3" customFormat="1" x14ac:dyDescent="0.2">
      <c r="B33" s="4"/>
      <c r="C33" s="4"/>
      <c r="E33" s="4"/>
      <c r="F33" s="4"/>
      <c r="G33" s="4"/>
      <c r="H33" s="4"/>
      <c r="I33" s="4"/>
      <c r="J33" s="4"/>
      <c r="K33" s="4"/>
      <c r="N33" s="4"/>
      <c r="O33" s="4"/>
      <c r="P33" s="4"/>
      <c r="Q33" s="4"/>
      <c r="R33" s="4"/>
    </row>
    <row r="34" spans="2:18" s="3" customFormat="1" x14ac:dyDescent="0.2">
      <c r="B34" s="4"/>
      <c r="C34" s="4"/>
      <c r="E34" s="4"/>
      <c r="F34" s="4"/>
      <c r="G34" s="4"/>
      <c r="H34" s="4"/>
      <c r="I34" s="4"/>
      <c r="J34" s="4"/>
      <c r="K34" s="4"/>
      <c r="N34" s="4"/>
      <c r="O34" s="4"/>
      <c r="P34" s="4"/>
      <c r="Q34" s="4"/>
      <c r="R34" s="4"/>
    </row>
    <row r="35" spans="2:18" s="3" customFormat="1" x14ac:dyDescent="0.2">
      <c r="B35" s="4"/>
      <c r="C35" s="4"/>
      <c r="E35" s="4"/>
      <c r="F35" s="4"/>
      <c r="G35" s="4"/>
      <c r="H35" s="4"/>
      <c r="I35" s="4"/>
      <c r="J35" s="4"/>
      <c r="K35" s="4"/>
      <c r="N35" s="4"/>
      <c r="O35" s="4"/>
      <c r="P35" s="4"/>
      <c r="Q35" s="4"/>
      <c r="R35" s="4"/>
    </row>
    <row r="36" spans="2:18" s="3" customFormat="1" x14ac:dyDescent="0.2">
      <c r="B36" s="4"/>
      <c r="C36" s="4"/>
      <c r="E36" s="4"/>
      <c r="F36" s="4"/>
      <c r="G36" s="4"/>
      <c r="H36" s="4"/>
      <c r="I36" s="4"/>
      <c r="J36" s="4"/>
      <c r="K36" s="4"/>
      <c r="N36" s="4"/>
      <c r="O36" s="4"/>
      <c r="P36" s="4"/>
      <c r="Q36" s="4"/>
      <c r="R36" s="4"/>
    </row>
    <row r="285" spans="1:11" x14ac:dyDescent="0.2">
      <c r="A285" s="18"/>
      <c r="B285" s="19"/>
      <c r="C285" s="19"/>
      <c r="D285" s="18"/>
      <c r="E285" s="19"/>
      <c r="F285" s="19"/>
      <c r="G285" s="19"/>
      <c r="H285" s="19"/>
      <c r="I285" s="19"/>
      <c r="J285" s="19"/>
      <c r="K285" s="19"/>
    </row>
    <row r="286" spans="1:11" x14ac:dyDescent="0.2">
      <c r="A286" s="18"/>
      <c r="B286" s="19"/>
      <c r="C286" s="19"/>
      <c r="D286" s="18"/>
      <c r="E286" s="19"/>
      <c r="F286" s="19"/>
      <c r="G286" s="19"/>
      <c r="H286" s="19"/>
      <c r="I286" s="19"/>
      <c r="J286" s="19"/>
      <c r="K286" s="19"/>
    </row>
    <row r="287" spans="1:11" x14ac:dyDescent="0.2">
      <c r="A287" s="8"/>
      <c r="B287" s="9"/>
      <c r="C287" s="9"/>
      <c r="D287" s="8"/>
      <c r="E287" s="9"/>
      <c r="F287" s="9"/>
      <c r="G287" s="9"/>
      <c r="H287" s="9"/>
      <c r="I287" s="9"/>
      <c r="J287" s="9"/>
      <c r="K287" s="9"/>
    </row>
    <row r="288" spans="1:11" x14ac:dyDescent="0.2">
      <c r="A288" s="8"/>
      <c r="B288" s="9"/>
      <c r="C288" s="9"/>
      <c r="D288" s="8"/>
      <c r="E288" s="9"/>
      <c r="F288" s="9"/>
      <c r="G288" s="9"/>
      <c r="H288" s="9"/>
      <c r="I288" s="9"/>
      <c r="J288" s="9"/>
      <c r="K288" s="9"/>
    </row>
    <row r="289" spans="1:11" x14ac:dyDescent="0.2">
      <c r="A289" s="5" t="s">
        <v>34</v>
      </c>
      <c r="B289" s="11" t="s">
        <v>41</v>
      </c>
      <c r="C289" s="6" t="s">
        <v>42</v>
      </c>
      <c r="D289" s="9" t="s">
        <v>43</v>
      </c>
      <c r="E289" s="7" t="s">
        <v>44</v>
      </c>
      <c r="F289" s="9"/>
      <c r="G289" s="9"/>
      <c r="H289" s="9"/>
      <c r="I289" s="9"/>
      <c r="J289" s="9"/>
      <c r="K289" s="9"/>
    </row>
    <row r="290" spans="1:11" x14ac:dyDescent="0.2">
      <c r="A290" s="5" t="s">
        <v>45</v>
      </c>
      <c r="B290" s="11" t="s">
        <v>46</v>
      </c>
      <c r="C290" s="6" t="s">
        <v>47</v>
      </c>
      <c r="D290" s="6" t="s">
        <v>48</v>
      </c>
      <c r="E290" s="7" t="s">
        <v>49</v>
      </c>
      <c r="F290" s="9"/>
      <c r="G290" s="9"/>
      <c r="H290" s="9"/>
      <c r="I290" s="9"/>
      <c r="J290" s="9"/>
      <c r="K290" s="9"/>
    </row>
    <row r="291" spans="1:11" x14ac:dyDescent="0.2">
      <c r="A291" s="5" t="s">
        <v>33</v>
      </c>
      <c r="B291" s="12" t="s">
        <v>50</v>
      </c>
      <c r="C291" s="9" t="s">
        <v>51</v>
      </c>
      <c r="D291" s="6" t="s">
        <v>35</v>
      </c>
      <c r="E291" s="7" t="s">
        <v>52</v>
      </c>
      <c r="F291" s="9"/>
      <c r="G291" s="9"/>
      <c r="H291" s="9"/>
      <c r="I291" s="9"/>
      <c r="J291" s="9"/>
      <c r="K291" s="9"/>
    </row>
    <row r="292" spans="1:11" x14ac:dyDescent="0.2">
      <c r="A292" s="5" t="s">
        <v>37</v>
      </c>
      <c r="B292" s="11" t="s">
        <v>53</v>
      </c>
      <c r="C292" s="6" t="s">
        <v>54</v>
      </c>
      <c r="D292" s="6" t="s">
        <v>55</v>
      </c>
      <c r="E292" s="7" t="s">
        <v>56</v>
      </c>
      <c r="F292" s="9"/>
      <c r="G292" s="9"/>
      <c r="H292" s="9"/>
      <c r="I292" s="9"/>
      <c r="J292" s="9"/>
      <c r="K292" s="9"/>
    </row>
    <row r="293" spans="1:11" x14ac:dyDescent="0.2">
      <c r="A293" s="5" t="s">
        <v>57</v>
      </c>
      <c r="B293" s="12" t="s">
        <v>58</v>
      </c>
      <c r="C293" s="6" t="s">
        <v>59</v>
      </c>
      <c r="D293" s="6" t="s">
        <v>60</v>
      </c>
      <c r="E293" s="7" t="s">
        <v>61</v>
      </c>
      <c r="F293" s="9"/>
      <c r="G293" s="9"/>
      <c r="H293" s="9"/>
      <c r="I293" s="9"/>
      <c r="J293" s="9"/>
      <c r="K293" s="9"/>
    </row>
    <row r="294" spans="1:11" x14ac:dyDescent="0.2">
      <c r="A294" s="5" t="s">
        <v>62</v>
      </c>
      <c r="B294" s="11" t="s">
        <v>38</v>
      </c>
      <c r="C294" s="6" t="s">
        <v>63</v>
      </c>
      <c r="D294" s="8"/>
      <c r="E294" s="7" t="s">
        <v>64</v>
      </c>
      <c r="F294" s="9"/>
      <c r="G294" s="9"/>
      <c r="H294" s="9"/>
      <c r="I294" s="9"/>
      <c r="J294" s="9"/>
      <c r="K294" s="9"/>
    </row>
    <row r="295" spans="1:11" x14ac:dyDescent="0.2">
      <c r="A295" s="5" t="s">
        <v>65</v>
      </c>
      <c r="B295" s="11" t="s">
        <v>40</v>
      </c>
      <c r="C295" s="6" t="s">
        <v>66</v>
      </c>
      <c r="D295" s="8"/>
      <c r="E295" s="10">
        <v>2.2999999999999998</v>
      </c>
      <c r="F295" s="9"/>
      <c r="G295" s="9"/>
      <c r="H295" s="9"/>
      <c r="I295" s="9"/>
      <c r="J295" s="9"/>
      <c r="K295" s="9"/>
    </row>
    <row r="296" spans="1:11" x14ac:dyDescent="0.2">
      <c r="A296" s="5" t="s">
        <v>67</v>
      </c>
      <c r="B296" s="9"/>
      <c r="C296" s="6" t="s">
        <v>68</v>
      </c>
      <c r="D296" s="8"/>
      <c r="E296" s="10">
        <v>7.8</v>
      </c>
      <c r="F296" s="9"/>
      <c r="G296" s="9"/>
      <c r="H296" s="9"/>
      <c r="I296" s="9"/>
      <c r="J296" s="9"/>
      <c r="K296" s="9"/>
    </row>
    <row r="297" spans="1:11" x14ac:dyDescent="0.2">
      <c r="A297" s="5" t="s">
        <v>69</v>
      </c>
      <c r="B297" s="9"/>
      <c r="C297" s="6" t="s">
        <v>70</v>
      </c>
      <c r="D297" s="8"/>
      <c r="E297" s="9"/>
      <c r="F297" s="9"/>
      <c r="G297" s="9"/>
      <c r="H297" s="9"/>
      <c r="I297" s="9"/>
      <c r="J297" s="9"/>
      <c r="K297" s="9"/>
    </row>
    <row r="298" spans="1:11" x14ac:dyDescent="0.2">
      <c r="A298" s="5" t="s">
        <v>71</v>
      </c>
      <c r="B298" s="9"/>
      <c r="C298" s="6" t="s">
        <v>72</v>
      </c>
      <c r="D298" s="8"/>
      <c r="E298" s="9"/>
      <c r="F298" s="9"/>
      <c r="G298" s="9"/>
      <c r="H298" s="9"/>
      <c r="I298" s="9"/>
      <c r="J298" s="9"/>
      <c r="K298" s="9"/>
    </row>
    <row r="299" spans="1:11" x14ac:dyDescent="0.2">
      <c r="A299" s="8"/>
      <c r="B299" s="9"/>
      <c r="C299" s="6" t="s">
        <v>73</v>
      </c>
      <c r="D299" s="8"/>
      <c r="E299" s="8"/>
      <c r="F299" s="9"/>
      <c r="G299" s="9"/>
      <c r="H299" s="9"/>
      <c r="I299" s="9"/>
      <c r="J299" s="9"/>
      <c r="K299" s="9"/>
    </row>
    <row r="300" spans="1:11" x14ac:dyDescent="0.2">
      <c r="A300" s="8"/>
      <c r="B300" s="9"/>
      <c r="C300" s="6" t="s">
        <v>74</v>
      </c>
      <c r="D300" s="8"/>
      <c r="E300" s="8"/>
      <c r="F300" s="9"/>
      <c r="G300" s="9"/>
      <c r="H300" s="9"/>
      <c r="I300" s="9"/>
      <c r="J300" s="9"/>
      <c r="K300" s="9"/>
    </row>
    <row r="301" spans="1:11" x14ac:dyDescent="0.2">
      <c r="A301" s="8"/>
      <c r="B301" s="9"/>
      <c r="C301" s="6" t="s">
        <v>75</v>
      </c>
      <c r="D301" s="8"/>
      <c r="E301" s="8"/>
      <c r="F301" s="9"/>
      <c r="G301" s="9"/>
      <c r="H301" s="9"/>
      <c r="I301" s="9"/>
      <c r="J301" s="9"/>
      <c r="K301" s="9"/>
    </row>
    <row r="302" spans="1:11" x14ac:dyDescent="0.2">
      <c r="A302" s="8"/>
      <c r="B302" s="9"/>
      <c r="C302" s="6" t="s">
        <v>76</v>
      </c>
      <c r="D302" s="8"/>
      <c r="E302" s="8"/>
      <c r="F302" s="9"/>
      <c r="G302" s="9"/>
      <c r="H302" s="9"/>
      <c r="I302" s="9"/>
      <c r="J302" s="9"/>
      <c r="K302" s="9"/>
    </row>
    <row r="303" spans="1:11" x14ac:dyDescent="0.2">
      <c r="A303" s="8"/>
      <c r="B303" s="9"/>
      <c r="C303" s="6" t="s">
        <v>77</v>
      </c>
      <c r="D303" s="8"/>
      <c r="E303" s="8"/>
      <c r="F303" s="9"/>
      <c r="G303" s="9"/>
      <c r="H303" s="9"/>
      <c r="I303" s="9"/>
      <c r="J303" s="9"/>
      <c r="K303" s="9"/>
    </row>
    <row r="304" spans="1:11" x14ac:dyDescent="0.2">
      <c r="A304" s="8"/>
      <c r="B304" s="9"/>
      <c r="C304" s="6" t="s">
        <v>78</v>
      </c>
      <c r="D304" s="8"/>
      <c r="E304" s="8"/>
      <c r="F304" s="9"/>
      <c r="G304" s="9"/>
      <c r="H304" s="9"/>
      <c r="I304" s="9"/>
      <c r="J304" s="9"/>
      <c r="K304" s="9"/>
    </row>
    <row r="305" spans="1:11" x14ac:dyDescent="0.2">
      <c r="A305" s="8"/>
      <c r="B305" s="9"/>
      <c r="C305" s="6" t="s">
        <v>79</v>
      </c>
      <c r="D305" s="8"/>
      <c r="E305" s="8"/>
      <c r="F305" s="9"/>
      <c r="G305" s="9"/>
      <c r="H305" s="9"/>
      <c r="I305" s="9"/>
      <c r="J305" s="9"/>
      <c r="K305" s="9"/>
    </row>
    <row r="306" spans="1:11" x14ac:dyDescent="0.2">
      <c r="A306" s="8"/>
      <c r="B306" s="9"/>
      <c r="C306" s="6" t="s">
        <v>80</v>
      </c>
      <c r="D306" s="8"/>
      <c r="E306" s="8"/>
      <c r="F306" s="9"/>
      <c r="G306" s="9"/>
      <c r="H306" s="9"/>
      <c r="I306" s="9"/>
      <c r="J306" s="9"/>
      <c r="K306" s="9"/>
    </row>
    <row r="307" spans="1:11" x14ac:dyDescent="0.2">
      <c r="A307" s="8"/>
      <c r="B307" s="9"/>
      <c r="C307" s="6" t="s">
        <v>81</v>
      </c>
      <c r="D307" s="8"/>
      <c r="E307" s="9"/>
      <c r="F307" s="9"/>
      <c r="G307" s="9"/>
      <c r="H307" s="9"/>
      <c r="I307" s="9"/>
      <c r="J307" s="9"/>
      <c r="K307" s="9"/>
    </row>
    <row r="308" spans="1:11" x14ac:dyDescent="0.2">
      <c r="A308" s="8"/>
      <c r="B308" s="9"/>
      <c r="C308" s="6" t="s">
        <v>82</v>
      </c>
      <c r="D308" s="8"/>
      <c r="E308" s="9"/>
      <c r="F308" s="9"/>
      <c r="G308" s="9"/>
      <c r="H308" s="9"/>
      <c r="I308" s="9"/>
      <c r="J308" s="9"/>
      <c r="K308" s="9"/>
    </row>
    <row r="309" spans="1:11" x14ac:dyDescent="0.2">
      <c r="A309" s="8"/>
      <c r="B309" s="9"/>
      <c r="C309" s="6" t="s">
        <v>83</v>
      </c>
      <c r="D309" s="8"/>
      <c r="E309" s="9"/>
      <c r="F309" s="9"/>
      <c r="G309" s="9"/>
      <c r="H309" s="9"/>
      <c r="I309" s="9"/>
      <c r="J309" s="9"/>
      <c r="K309" s="9"/>
    </row>
    <row r="310" spans="1:11" x14ac:dyDescent="0.2">
      <c r="A310" s="8"/>
      <c r="B310" s="9"/>
      <c r="C310" s="9"/>
      <c r="D310" s="8"/>
      <c r="E310" s="9"/>
      <c r="F310" s="9"/>
      <c r="G310" s="9"/>
      <c r="H310" s="9"/>
      <c r="I310" s="9"/>
      <c r="J310" s="9"/>
      <c r="K310" s="9"/>
    </row>
    <row r="311" spans="1:11" x14ac:dyDescent="0.2">
      <c r="A311" s="18"/>
      <c r="B311" s="19"/>
      <c r="C311" s="19"/>
      <c r="D311" s="18"/>
      <c r="E311" s="19"/>
      <c r="F311" s="19"/>
      <c r="G311" s="19"/>
      <c r="H311" s="19"/>
      <c r="I311" s="19"/>
      <c r="J311" s="19"/>
      <c r="K311" s="19"/>
    </row>
    <row r="312" spans="1:11" x14ac:dyDescent="0.2">
      <c r="A312" s="3"/>
      <c r="B312" s="4"/>
      <c r="D312" s="3"/>
      <c r="E312" s="4"/>
      <c r="F312" s="4"/>
      <c r="G312" s="4"/>
      <c r="H312" s="4"/>
      <c r="I312" s="4"/>
      <c r="J312" s="4"/>
      <c r="K312" s="4"/>
    </row>
    <row r="313" spans="1:11" x14ac:dyDescent="0.2">
      <c r="A313" s="3"/>
      <c r="B313" s="4"/>
      <c r="D313" s="3"/>
      <c r="E313" s="4"/>
      <c r="F313" s="4"/>
      <c r="G313" s="4"/>
      <c r="H313" s="4"/>
      <c r="I313" s="4"/>
      <c r="J313" s="4"/>
      <c r="K313" s="4"/>
    </row>
  </sheetData>
  <mergeCells count="9">
    <mergeCell ref="C4:F4"/>
    <mergeCell ref="B9:G9"/>
    <mergeCell ref="H9:K9"/>
    <mergeCell ref="L9:O9"/>
    <mergeCell ref="H10:H11"/>
    <mergeCell ref="I10:I11"/>
    <mergeCell ref="J10:J11"/>
    <mergeCell ref="K10:K11"/>
    <mergeCell ref="L1:M3"/>
  </mergeCells>
  <dataValidations count="5">
    <dataValidation type="list" allowBlank="1" showInputMessage="1" sqref="F12:K13" xr:uid="{EFE3C0AF-2FAE-4239-90D0-2616975CDAC5}">
      <formula1>$C$289:$C$309</formula1>
    </dataValidation>
    <dataValidation type="list" allowBlank="1" showInputMessage="1" sqref="C13:C29" xr:uid="{BF4C1226-D45F-4638-882E-62053C45EB92}">
      <formula1>$A$289:$A$298</formula1>
    </dataValidation>
    <dataValidation type="list" allowBlank="1" showInputMessage="1" sqref="M12:M29" xr:uid="{C8906C1E-548A-488B-9EAC-CA58711BAADC}">
      <formula1>$E$289:$E$296</formula1>
    </dataValidation>
    <dataValidation type="list" allowBlank="1" showInputMessage="1" sqref="E12:E29" xr:uid="{0B57FEFE-3AA7-4A46-B876-7B020D342EE1}">
      <formula1>$B$289:$B$295</formula1>
    </dataValidation>
    <dataValidation type="list" allowBlank="1" showInputMessage="1" sqref="N12:N29" xr:uid="{B1C0FBBB-3FEF-466C-82F5-585AEAC13519}">
      <formula1>$D$289:$D$293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77683414ABF4C8D533D095CD88726" ma:contentTypeVersion="12" ma:contentTypeDescription="Een nieuw document maken." ma:contentTypeScope="" ma:versionID="935a6798236d6364f0c801fe65f0a8e3">
  <xsd:schema xmlns:xsd="http://www.w3.org/2001/XMLSchema" xmlns:xs="http://www.w3.org/2001/XMLSchema" xmlns:p="http://schemas.microsoft.com/office/2006/metadata/properties" xmlns:ns2="771e30b6-f91e-44a0-a0de-d6d2d9708c62" xmlns:ns3="c0b2096d-bb4a-46cb-b083-3816298b28d3" targetNamespace="http://schemas.microsoft.com/office/2006/metadata/properties" ma:root="true" ma:fieldsID="2202373b74a67458018a033a33550e32" ns2:_="" ns3:_="">
    <xsd:import namespace="771e30b6-f91e-44a0-a0de-d6d2d9708c62"/>
    <xsd:import namespace="c0b2096d-bb4a-46cb-b083-3816298b28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e30b6-f91e-44a0-a0de-d6d2d9708c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74f9fd84-adc9-48b5-8915-afef0dbfb6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2096d-bb4a-46cb-b083-3816298b28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c8746f-01c0-47bf-b6d4-fbd4374b60c7}" ma:internalName="TaxCatchAll" ma:showField="CatchAllData" ma:web="c0b2096d-bb4a-46cb-b083-3816298b28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1e30b6-f91e-44a0-a0de-d6d2d9708c62">
      <Terms xmlns="http://schemas.microsoft.com/office/infopath/2007/PartnerControls"/>
    </lcf76f155ced4ddcb4097134ff3c332f>
    <TaxCatchAll xmlns="c0b2096d-bb4a-46cb-b083-3816298b28d3" xsi:nil="true"/>
  </documentManagement>
</p:properties>
</file>

<file path=customXml/itemProps1.xml><?xml version="1.0" encoding="utf-8"?>
<ds:datastoreItem xmlns:ds="http://schemas.openxmlformats.org/officeDocument/2006/customXml" ds:itemID="{C500BB72-6C34-4DC2-BEC1-8E40F71DCC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1e30b6-f91e-44a0-a0de-d6d2d9708c62"/>
    <ds:schemaRef ds:uri="c0b2096d-bb4a-46cb-b083-3816298b28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C27062-FEDF-450B-8BCB-A105336A77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A6383D-7620-4289-AF22-9077B6839F4D}">
  <ds:schemaRefs>
    <ds:schemaRef ds:uri="http://purl.org/dc/elements/1.1/"/>
    <ds:schemaRef ds:uri="http://purl.org/dc/dcmitype/"/>
    <ds:schemaRef ds:uri="http://schemas.microsoft.com/office/infopath/2007/PartnerControls"/>
    <ds:schemaRef ds:uri="12c92050-0953-42b1-807f-b7d86b6c15d7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e9cb24f5-7706-436a-aef1-29095873e8d2"/>
    <ds:schemaRef ds:uri="c22218fe-c27a-4445-9bdd-03bef5956126"/>
    <ds:schemaRef ds:uri="{listid:Documenten}"/>
    <ds:schemaRef ds:uri="65921a85-f581-4544-97eb-ffa82fc5a92c"/>
    <ds:schemaRef ds:uri="http://schemas.microsoft.com/office/2006/metadata/properties"/>
    <ds:schemaRef ds:uri="http://www.w3.org/XML/1998/namespace"/>
    <ds:schemaRef ds:uri="771e30b6-f91e-44a0-a0de-d6d2d9708c62"/>
    <ds:schemaRef ds:uri="c0b2096d-bb4a-46cb-b083-3816298b28d3"/>
  </ds:schemaRefs>
</ds:datastoreItem>
</file>

<file path=docMetadata/LabelInfo.xml><?xml version="1.0" encoding="utf-8"?>
<clbl:labelList xmlns:clbl="http://schemas.microsoft.com/office/2020/mipLabelMetadata">
  <clbl:label id="{187d8bc4-c3be-4e6b-b13b-730ed2bbb8bc}" enabled="0" method="" siteId="{187d8bc4-c3be-4e6b-b13b-730ed2bbb8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RK1</vt:lpstr>
      <vt:lpstr>RK3</vt:lpstr>
      <vt:lpstr>RK4</vt:lpstr>
      <vt:lpstr>'RK1'!Print_Area</vt:lpstr>
      <vt:lpstr>'RK1'!Print_Titles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Kabellijst</dc:title>
  <dc:subject/>
  <dc:creator>Ruud van Eijk</dc:creator>
  <cp:keywords/>
  <dc:description/>
  <cp:lastModifiedBy>Laura Gozzo | ERCO</cp:lastModifiedBy>
  <cp:revision/>
  <cp:lastPrinted>2026-04-17T09:57:34Z</cp:lastPrinted>
  <dcterms:created xsi:type="dcterms:W3CDTF">2000-09-03T18:48:28Z</dcterms:created>
  <dcterms:modified xsi:type="dcterms:W3CDTF">2026-07-17T06:48:25Z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0x0101005F877683414ABF4C8D533D095CD88726</vt:lpwstr>
  </property>
  <property fmtid="{D5CDD505-2E9C-101B-9397-08002B2CF9AE}" pid="3" name="ctbFolderMD7">
    <vt:lpwstr/>
  </property>
  <property fmtid="{D5CDD505-2E9C-101B-9397-08002B2CF9AE}" pid="4" name="ctbFolderMD6">
    <vt:lpwstr/>
  </property>
  <property fmtid="{D5CDD505-2E9C-101B-9397-08002B2CF9AE}" pid="5" name="ctbFolderMD5">
    <vt:lpwstr/>
  </property>
  <property fmtid="{D5CDD505-2E9C-101B-9397-08002B2CF9AE}" pid="6" name="ctbFolderMD0">
    <vt:lpwstr>Shared Documents</vt:lpwstr>
  </property>
  <property fmtid="{D5CDD505-2E9C-101B-9397-08002B2CF9AE}" pid="7" name="ctbFolderMD4">
    <vt:lpwstr/>
  </property>
  <property fmtid="{D5CDD505-2E9C-101B-9397-08002B2CF9AE}" pid="8" name="ctbFolderMD8">
    <vt:lpwstr/>
  </property>
  <property fmtid="{D5CDD505-2E9C-101B-9397-08002B2CF9AE}" pid="9" name="MediaServiceImageTags">
    <vt:lpwstr/>
  </property>
</Properties>
</file>