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igitalworkplaces.sharepoint.com/sites/ERCO-PRJ/Gedeelde documenten/03 - Klanten/2026/7273 Amarant Kloppend Hart te Tilburg/01 - Aanvraag/01 - V1/gegevens/00 IO lijsten/"/>
    </mc:Choice>
  </mc:AlternateContent>
  <xr:revisionPtr revIDLastSave="16" documentId="8_{86BEB060-3310-4046-8AD5-0F76A4350578}" xr6:coauthVersionLast="47" xr6:coauthVersionMax="47" xr10:uidLastSave="{A0403CA2-C872-42AD-8D01-726752DF7529}"/>
  <bookViews>
    <workbookView xWindow="-108" yWindow="-108" windowWidth="23256" windowHeight="13896" xr2:uid="{BB3B0FA5-32BA-4908-B87C-33AF794C743A}"/>
  </bookViews>
  <sheets>
    <sheet name="1" sheetId="1" r:id="rId1"/>
    <sheet name="2" sheetId="2" r:id="rId2"/>
    <sheet name="NR" sheetId="3" r:id="rId3"/>
  </sheets>
  <externalReferences>
    <externalReference r:id="rId4"/>
  </externalReferences>
  <definedNames>
    <definedName name="Afsluiters_2OD">[1]VA_VR!$C$139:$C$161</definedName>
    <definedName name="Boeking">[1]Vrij_Invulbaar!$C$24:$C$34</definedName>
    <definedName name="Combinatiesensoren">[1]VA_VR!$C$47:$C$67</definedName>
    <definedName name="Comforte_trafo">[1]Priva_NR!$B$11:$B$13</definedName>
    <definedName name="Comfortes">[1]Priva_NR!$B$7:$B$10</definedName>
    <definedName name="CX_uitbreidingsmodulen">[1]Priva_NR!$B$35:$B$41</definedName>
    <definedName name="Diversen">[1]VA_VR!$C$346:$C$358</definedName>
    <definedName name="Drukopnemers">[1]VA_VR!$C$69:$C$80</definedName>
    <definedName name="Freq_drives">[1]Freq_Drives!$B$6:$B$77</definedName>
    <definedName name="Freq_drives_danfoss_amfilter" comment="Danfoss All Mode filter">[1]Freq_Drives!$B$65:$B$69</definedName>
    <definedName name="Freq_drives_danfoss_cmfilter" comment="Danfoss Common Mode Filter">[1]Freq_Drives!$B$48:$B$52</definedName>
    <definedName name="Freq_drives_danfoss_freq_icm_all" comment="Danfoss Frequentieregelaars (icm All Mode filters)">[1]Freq_Drives!$B$54:$B$63</definedName>
    <definedName name="Freq_drives_danfoss_freq_icm_sinus" comment="Danfoss Frequentieregelaars (icm Sinus filter)">[1]Freq_Drives!$B$23:$B$35</definedName>
    <definedName name="Freq_drives_danfoss_sfilter" comment="Danfoss Sinus filter">[1]Freq_Drives!$B$37:$B$46</definedName>
    <definedName name="GBS_Selectie_2">[1]Algemeen!$B$14:$B$70</definedName>
    <definedName name="Hulprelais">[1]Regelkast!$B$139:$B$140</definedName>
    <definedName name="Ketelvoedingen">[1]Regelkast!$B$84:$B$85</definedName>
    <definedName name="Keuze_scenario">[1]Specificatie_uren!$O$85:$O$88</definedName>
    <definedName name="kWh_meters">[1]Regelkast!$B$154:$B$160</definedName>
    <definedName name="Lijnen">[1]FTLStd!$F$866:$F$886</definedName>
    <definedName name="Luchtklepservo_010V">[1]VA_VR!$C$97:$C$107</definedName>
    <definedName name="Luchtklepservo_OD">[1]VA_VR!$C$82:$C$96</definedName>
    <definedName name="Magneetschakelaars">[1]Regelkast!$B$127:$B$137</definedName>
    <definedName name="Montagematerialen">[1]VA_NR!$B$105:$B$118</definedName>
    <definedName name="Motorgroepen">[1]Regelkast!$B$42:$B$57</definedName>
    <definedName name="Naregelafsluiters">[1]VA_NR!$C$18:$C$63</definedName>
    <definedName name="Naregelafsluiters_drukgecomp">[1]VA_NR!$C$26:$C$39</definedName>
    <definedName name="Omschakelafsluiters">[1]VA_VR!$C$125:$C$138</definedName>
    <definedName name="Opties_regelkast">[1]Regelkast!$B$118:$B$124</definedName>
    <definedName name="Overige_opnemers_NR">[1]VA_NR!$C$79:$C$83</definedName>
    <definedName name="Pompvoedingen">[1]Regelkast!$B$86:$B$88</definedName>
    <definedName name="_xlnm.Print_Area" localSheetId="0">'1'!$D$10:$Q$129</definedName>
    <definedName name="_xlnm.Print_Area" localSheetId="1">'2'!$D$10:$Q$113</definedName>
    <definedName name="_xlnm.Print_Area" localSheetId="2">NR!$D$10:$L$74</definedName>
    <definedName name="_xlnm.Print_Titles" localSheetId="0">'1'!$2:$9</definedName>
    <definedName name="_xlnm.Print_Titles" localSheetId="1">'2'!$2:$9</definedName>
    <definedName name="_xlnm.Print_Titles" localSheetId="2">NR!$2:$9</definedName>
    <definedName name="Protocollen">[1]FTLStd!$E$866:$E$876</definedName>
    <definedName name="Regelafsluiter_2_weg">[1]VA_VR!$C$162:$C$207</definedName>
    <definedName name="Regelafsluiter_2_weg_drukgecompenseerd">[1]VA_VR!$C$208:$C$224</definedName>
    <definedName name="Regelafsluiter_2_weg_Intel">[1]VA_VR!$C$225:$C$236</definedName>
    <definedName name="Regelafsluiter_3_weg">[1]VA_VR!$C$237:$C$313</definedName>
    <definedName name="Regelkast_algemeen_1">[1]Regelkast!$B$151:$B$152</definedName>
    <definedName name="Regelkast_algemeen_2">[1]Regelkast!$B$119:$B$120</definedName>
    <definedName name="Regelkast_extra">[1]Inbouw_app_RK!$C$10:$C$27</definedName>
    <definedName name="Regelkast_FB">[1]Regelkast!$B$36</definedName>
    <definedName name="Regelkast_OSB_FB">[1]Regelkast!$B$32:$B$33</definedName>
    <definedName name="Remote_IO">[1]VA_VR!$C$337:$C$344</definedName>
    <definedName name="Remote_IO_zonder_interventie">[1]VA_VR!$C$122:$C$124</definedName>
    <definedName name="Roombus">[1]Priva_NR!$B$54:$B$63</definedName>
    <definedName name="Ruimtebedienapparaten">[1]Priva_NR!$B$18:$B$32</definedName>
    <definedName name="Ruimteopnemers_Siemens">[1]VA_NR!$C$7:$C$17</definedName>
    <definedName name="RV_sensoren">[1]VA_VR!$C$38:$C$45</definedName>
    <definedName name="sel_SalesEngineers">[1]Parameters!$B$6:$B$54</definedName>
    <definedName name="Services_PDS_selectie_API">[1]Services!$B$131:$B$134</definedName>
    <definedName name="Services_PDS_selectie_Buildium">[1]Services!$B$118:$B$123</definedName>
    <definedName name="Services_PDS_selectie_Datapunten">[1]Services!$B$102:$B$110</definedName>
    <definedName name="Services_PDS_selectie_Energy_Insight">[1]Services!$B$125:$B$129</definedName>
    <definedName name="Services_PDS_Selectie_Gateway">[1]Services!$B$136:$B$139</definedName>
    <definedName name="Services_PDS_Selectie_Lengte_opslag">[1]Services!$B$111:$B$116</definedName>
    <definedName name="Services_PDS_selectie_Pakket">[1]Services!$B$95:$B$100</definedName>
    <definedName name="Services_Remote_Access">[1]Services!$B$142:$B$145</definedName>
    <definedName name="Siemens_Diverse">[1]VA_VR!$C$110:$C$124</definedName>
    <definedName name="Stuurstroomvoorziening">[1]Regelkast!$B$91:$B$111</definedName>
    <definedName name="Stuurstroomvoorziening_DC_combi">[1]Regelkast!$B$107:$B$110</definedName>
    <definedName name="Temperatuursensoren">[1]VA_VR!$C$8:$C$36</definedName>
    <definedName name="Touchpoints">[1]Priva_VR!$B$34:$B$37</definedName>
    <definedName name="TrafoStuurstroom">[1]Regelkast!$B$113:$B$116</definedName>
    <definedName name="Typicals">[1]Specificatie_uren!$B$98:$B$116</definedName>
    <definedName name="VAV_actuator">[1]Priva_NR!$B$14</definedName>
    <definedName name="Voeding_freq_regelaar">[1]Regelkast!$B$74:$B$82</definedName>
    <definedName name="Voeding_tracing">[1]Regelkast!$B$89</definedName>
    <definedName name="Voedingen">[1]Regelkast!$B$59:$B$71</definedName>
    <definedName name="Vrij_invulbaar_Priva_NR">[1]Priva_NR!$B$64:$B$73</definedName>
    <definedName name="Vrij_invulbaar_RK">[1]Regelkast!$C$207:$C$216</definedName>
    <definedName name="Vrij_invulbaar_Siemens_NR">[1]VA_NR!$C$65:$C$73</definedName>
    <definedName name="Vrij_invulbaar_Siemens_VR">[1]VA_VR!$C$315:$C$324</definedName>
    <definedName name="Vrij_invulbaar_VA_NR">[1]VA_NR!$C$87:$C$98</definedName>
    <definedName name="Vrij_invulbaar_VA_VR">[1]VA_VR!$C$362:$C$379</definedName>
    <definedName name="Warmte_koudemeters">[1]VA_VR!$C$397:$C$408</definedName>
    <definedName name="Warmtemeters">[1]VA_VR!$C$385:$C$395</definedName>
    <definedName name="Watermeters">[1]VA_VR!$C$417:$C$420</definedName>
    <definedName name="Weerstation">[1]VA_VR!$C$331:$C$335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73" i="3" l="1"/>
  <c r="W73" i="3"/>
  <c r="V73" i="3"/>
  <c r="U73" i="3"/>
  <c r="T73" i="3"/>
  <c r="I73" i="3"/>
  <c r="Z73" i="3" s="1"/>
  <c r="Z72" i="3"/>
  <c r="Y72" i="3"/>
  <c r="W72" i="3"/>
  <c r="V72" i="3"/>
  <c r="U72" i="3"/>
  <c r="T72" i="3"/>
  <c r="Z71" i="3"/>
  <c r="Y71" i="3"/>
  <c r="W71" i="3"/>
  <c r="V71" i="3"/>
  <c r="U71" i="3"/>
  <c r="T71" i="3"/>
  <c r="Z70" i="3"/>
  <c r="Y70" i="3"/>
  <c r="W70" i="3"/>
  <c r="V70" i="3"/>
  <c r="T70" i="3"/>
  <c r="I70" i="3"/>
  <c r="U70" i="3" s="1"/>
  <c r="Z69" i="3"/>
  <c r="Y69" i="3"/>
  <c r="W69" i="3"/>
  <c r="V69" i="3"/>
  <c r="U69" i="3"/>
  <c r="T69" i="3"/>
  <c r="Z68" i="3"/>
  <c r="Y68" i="3"/>
  <c r="W68" i="3"/>
  <c r="V68" i="3"/>
  <c r="U68" i="3"/>
  <c r="T68" i="3"/>
  <c r="K68" i="3"/>
  <c r="Z67" i="3"/>
  <c r="Y67" i="3"/>
  <c r="W67" i="3"/>
  <c r="V67" i="3"/>
  <c r="U67" i="3"/>
  <c r="T67" i="3"/>
  <c r="K67" i="3"/>
  <c r="Z66" i="3"/>
  <c r="Y66" i="3"/>
  <c r="W66" i="3"/>
  <c r="V66" i="3"/>
  <c r="U66" i="3"/>
  <c r="T66" i="3"/>
  <c r="J66" i="3"/>
  <c r="Z65" i="3"/>
  <c r="Y65" i="3"/>
  <c r="W65" i="3"/>
  <c r="V65" i="3"/>
  <c r="U65" i="3"/>
  <c r="T65" i="3"/>
  <c r="Z64" i="3"/>
  <c r="Y64" i="3"/>
  <c r="W64" i="3"/>
  <c r="V64" i="3"/>
  <c r="U64" i="3"/>
  <c r="T64" i="3"/>
  <c r="Y61" i="3"/>
  <c r="W61" i="3"/>
  <c r="V61" i="3"/>
  <c r="U61" i="3"/>
  <c r="T61" i="3"/>
  <c r="I61" i="3"/>
  <c r="Z61" i="3" s="1"/>
  <c r="Z60" i="3"/>
  <c r="Y60" i="3"/>
  <c r="W60" i="3"/>
  <c r="V60" i="3"/>
  <c r="U60" i="3"/>
  <c r="T60" i="3"/>
  <c r="Z59" i="3"/>
  <c r="Y59" i="3"/>
  <c r="W59" i="3"/>
  <c r="V59" i="3"/>
  <c r="U59" i="3"/>
  <c r="T59" i="3"/>
  <c r="Z58" i="3"/>
  <c r="Y58" i="3"/>
  <c r="W58" i="3"/>
  <c r="V58" i="3"/>
  <c r="U58" i="3"/>
  <c r="T58" i="3"/>
  <c r="I58" i="3"/>
  <c r="Z57" i="3"/>
  <c r="Y57" i="3"/>
  <c r="W57" i="3"/>
  <c r="V57" i="3"/>
  <c r="U57" i="3"/>
  <c r="T57" i="3"/>
  <c r="I57" i="3"/>
  <c r="Z56" i="3"/>
  <c r="Y56" i="3"/>
  <c r="W56" i="3"/>
  <c r="V56" i="3"/>
  <c r="U56" i="3"/>
  <c r="T56" i="3"/>
  <c r="K56" i="3"/>
  <c r="Z55" i="3"/>
  <c r="W55" i="3"/>
  <c r="V55" i="3"/>
  <c r="U55" i="3"/>
  <c r="T55" i="3"/>
  <c r="J55" i="3"/>
  <c r="Y55" i="3" s="1"/>
  <c r="Z54" i="3"/>
  <c r="Y54" i="3"/>
  <c r="W54" i="3"/>
  <c r="V54" i="3"/>
  <c r="U54" i="3"/>
  <c r="T54" i="3"/>
  <c r="Z53" i="3"/>
  <c r="Y53" i="3"/>
  <c r="W53" i="3"/>
  <c r="V53" i="3"/>
  <c r="U53" i="3"/>
  <c r="T53" i="3"/>
  <c r="Z48" i="3"/>
  <c r="Y48" i="3"/>
  <c r="W48" i="3"/>
  <c r="V48" i="3"/>
  <c r="U48" i="3"/>
  <c r="T48" i="3"/>
  <c r="I48" i="3"/>
  <c r="Z47" i="3"/>
  <c r="Y47" i="3"/>
  <c r="W47" i="3"/>
  <c r="V47" i="3"/>
  <c r="U47" i="3"/>
  <c r="T47" i="3"/>
  <c r="Z46" i="3"/>
  <c r="Y46" i="3"/>
  <c r="W46" i="3"/>
  <c r="V46" i="3"/>
  <c r="U46" i="3"/>
  <c r="T46" i="3"/>
  <c r="Z45" i="3"/>
  <c r="Y45" i="3"/>
  <c r="W45" i="3"/>
  <c r="V45" i="3"/>
  <c r="U45" i="3"/>
  <c r="T45" i="3"/>
  <c r="I45" i="3"/>
  <c r="Z44" i="3"/>
  <c r="Y44" i="3"/>
  <c r="W44" i="3"/>
  <c r="V44" i="3"/>
  <c r="U44" i="3"/>
  <c r="T44" i="3"/>
  <c r="Z43" i="3"/>
  <c r="Y43" i="3"/>
  <c r="W43" i="3"/>
  <c r="V43" i="3"/>
  <c r="U43" i="3"/>
  <c r="T43" i="3"/>
  <c r="K43" i="3"/>
  <c r="Z42" i="3"/>
  <c r="Y42" i="3"/>
  <c r="W42" i="3"/>
  <c r="V42" i="3"/>
  <c r="U42" i="3"/>
  <c r="T42" i="3"/>
  <c r="K42" i="3"/>
  <c r="Z41" i="3"/>
  <c r="Y41" i="3"/>
  <c r="W41" i="3"/>
  <c r="V41" i="3"/>
  <c r="U41" i="3"/>
  <c r="T41" i="3"/>
  <c r="J41" i="3"/>
  <c r="Z40" i="3"/>
  <c r="Y40" i="3"/>
  <c r="W40" i="3"/>
  <c r="V40" i="3"/>
  <c r="U40" i="3"/>
  <c r="T40" i="3"/>
  <c r="Z39" i="3"/>
  <c r="Y39" i="3"/>
  <c r="W39" i="3"/>
  <c r="V39" i="3"/>
  <c r="U39" i="3"/>
  <c r="T39" i="3"/>
  <c r="Z36" i="3"/>
  <c r="Y36" i="3"/>
  <c r="W36" i="3"/>
  <c r="V36" i="3"/>
  <c r="U36" i="3"/>
  <c r="T36" i="3"/>
  <c r="I36" i="3"/>
  <c r="Z35" i="3"/>
  <c r="Y35" i="3"/>
  <c r="W35" i="3"/>
  <c r="V35" i="3"/>
  <c r="U35" i="3"/>
  <c r="T35" i="3"/>
  <c r="Z34" i="3"/>
  <c r="Y34" i="3"/>
  <c r="W34" i="3"/>
  <c r="V34" i="3"/>
  <c r="U34" i="3"/>
  <c r="T34" i="3"/>
  <c r="Z33" i="3"/>
  <c r="Y33" i="3"/>
  <c r="W33" i="3"/>
  <c r="V33" i="3"/>
  <c r="U33" i="3"/>
  <c r="T33" i="3"/>
  <c r="I33" i="3"/>
  <c r="Z32" i="3"/>
  <c r="Y32" i="3"/>
  <c r="W32" i="3"/>
  <c r="V32" i="3"/>
  <c r="U32" i="3"/>
  <c r="T32" i="3"/>
  <c r="I32" i="3"/>
  <c r="I9" i="3" s="1"/>
  <c r="Z31" i="3"/>
  <c r="Y31" i="3"/>
  <c r="W31" i="3"/>
  <c r="V31" i="3"/>
  <c r="U31" i="3"/>
  <c r="T31" i="3"/>
  <c r="K31" i="3"/>
  <c r="Z30" i="3"/>
  <c r="Y30" i="3"/>
  <c r="W30" i="3"/>
  <c r="V30" i="3"/>
  <c r="U30" i="3"/>
  <c r="T30" i="3"/>
  <c r="J30" i="3"/>
  <c r="Z29" i="3"/>
  <c r="Y29" i="3"/>
  <c r="W29" i="3"/>
  <c r="V29" i="3"/>
  <c r="U29" i="3"/>
  <c r="T29" i="3"/>
  <c r="Z28" i="3"/>
  <c r="Y28" i="3"/>
  <c r="W28" i="3"/>
  <c r="V28" i="3"/>
  <c r="U28" i="3"/>
  <c r="T28" i="3"/>
  <c r="Z23" i="3"/>
  <c r="Y23" i="3"/>
  <c r="W23" i="3"/>
  <c r="V23" i="3"/>
  <c r="U23" i="3"/>
  <c r="T23" i="3"/>
  <c r="I23" i="3"/>
  <c r="Z22" i="3"/>
  <c r="Y22" i="3"/>
  <c r="W22" i="3"/>
  <c r="V22" i="3"/>
  <c r="U22" i="3"/>
  <c r="T22" i="3"/>
  <c r="Z21" i="3"/>
  <c r="Y21" i="3"/>
  <c r="W21" i="3"/>
  <c r="V21" i="3"/>
  <c r="U21" i="3"/>
  <c r="T21" i="3"/>
  <c r="Z20" i="3"/>
  <c r="Y20" i="3"/>
  <c r="W20" i="3"/>
  <c r="V20" i="3"/>
  <c r="U20" i="3"/>
  <c r="T20" i="3"/>
  <c r="Z19" i="3"/>
  <c r="Y19" i="3"/>
  <c r="W19" i="3"/>
  <c r="V19" i="3"/>
  <c r="U19" i="3"/>
  <c r="T19" i="3"/>
  <c r="Z18" i="3"/>
  <c r="Y18" i="3"/>
  <c r="W18" i="3"/>
  <c r="V18" i="3"/>
  <c r="U18" i="3"/>
  <c r="T18" i="3"/>
  <c r="K18" i="3"/>
  <c r="Z17" i="3"/>
  <c r="Y17" i="3"/>
  <c r="W17" i="3"/>
  <c r="V17" i="3"/>
  <c r="U17" i="3"/>
  <c r="T17" i="3"/>
  <c r="K17" i="3"/>
  <c r="K9" i="3" s="1"/>
  <c r="Z16" i="3"/>
  <c r="W16" i="3"/>
  <c r="V16" i="3"/>
  <c r="U16" i="3"/>
  <c r="T16" i="3"/>
  <c r="J16" i="3"/>
  <c r="Y16" i="3" s="1"/>
  <c r="Z15" i="3"/>
  <c r="Y15" i="3"/>
  <c r="W15" i="3"/>
  <c r="V15" i="3"/>
  <c r="U15" i="3"/>
  <c r="T15" i="3"/>
  <c r="Z14" i="3"/>
  <c r="Y14" i="3"/>
  <c r="W14" i="3"/>
  <c r="V14" i="3"/>
  <c r="U14" i="3"/>
  <c r="T14" i="3"/>
  <c r="P9" i="3"/>
  <c r="O9" i="3"/>
  <c r="N9" i="3"/>
  <c r="L9" i="3"/>
  <c r="H9" i="3"/>
  <c r="E5" i="3"/>
  <c r="E3" i="3"/>
  <c r="E2" i="3"/>
  <c r="I103" i="2"/>
  <c r="I102" i="2"/>
  <c r="AC101" i="2"/>
  <c r="AB101" i="2"/>
  <c r="AA101" i="2"/>
  <c r="I101" i="2"/>
  <c r="AC100" i="2"/>
  <c r="AB100" i="2"/>
  <c r="AA100" i="2"/>
  <c r="K100" i="2"/>
  <c r="AC99" i="2"/>
  <c r="AB99" i="2"/>
  <c r="AA99" i="2"/>
  <c r="I99" i="2"/>
  <c r="AC98" i="2"/>
  <c r="AB98" i="2"/>
  <c r="AA98" i="2"/>
  <c r="AC97" i="2"/>
  <c r="AB97" i="2"/>
  <c r="AA97" i="2"/>
  <c r="AC96" i="2"/>
  <c r="AB96" i="2"/>
  <c r="AA96" i="2"/>
  <c r="I96" i="2"/>
  <c r="Z93" i="2"/>
  <c r="Z78" i="2"/>
  <c r="AC76" i="2"/>
  <c r="AB76" i="2"/>
  <c r="AA76" i="2"/>
  <c r="J76" i="2"/>
  <c r="AC75" i="2"/>
  <c r="AB75" i="2"/>
  <c r="AA75" i="2"/>
  <c r="M75" i="2"/>
  <c r="I75" i="2"/>
  <c r="AC74" i="2"/>
  <c r="AB74" i="2"/>
  <c r="AA74" i="2"/>
  <c r="L74" i="2"/>
  <c r="AC73" i="2"/>
  <c r="AB73" i="2"/>
  <c r="AA73" i="2"/>
  <c r="L73" i="2"/>
  <c r="AC72" i="2"/>
  <c r="AB72" i="2"/>
  <c r="AA72" i="2"/>
  <c r="L72" i="2"/>
  <c r="AC71" i="2"/>
  <c r="AB71" i="2"/>
  <c r="AA71" i="2"/>
  <c r="L71" i="2"/>
  <c r="AC70" i="2"/>
  <c r="AB70" i="2"/>
  <c r="AA70" i="2"/>
  <c r="I70" i="2"/>
  <c r="AC69" i="2"/>
  <c r="AB69" i="2"/>
  <c r="AA69" i="2"/>
  <c r="M69" i="2"/>
  <c r="J69" i="2"/>
  <c r="I69" i="2"/>
  <c r="AC68" i="2"/>
  <c r="AB68" i="2"/>
  <c r="AA68" i="2"/>
  <c r="L68" i="2"/>
  <c r="AC67" i="2"/>
  <c r="AB67" i="2"/>
  <c r="AA67" i="2"/>
  <c r="M67" i="2"/>
  <c r="I67" i="2"/>
  <c r="AC66" i="2"/>
  <c r="AB66" i="2"/>
  <c r="AA66" i="2"/>
  <c r="I66" i="2"/>
  <c r="AC65" i="2"/>
  <c r="AB65" i="2"/>
  <c r="AA65" i="2"/>
  <c r="L65" i="2"/>
  <c r="AC64" i="2"/>
  <c r="AB64" i="2"/>
  <c r="AA64" i="2"/>
  <c r="L64" i="2"/>
  <c r="Z63" i="2"/>
  <c r="AC62" i="2"/>
  <c r="AB62" i="2"/>
  <c r="AA62" i="2"/>
  <c r="M62" i="2"/>
  <c r="AC61" i="2"/>
  <c r="AB61" i="2"/>
  <c r="AA61" i="2"/>
  <c r="J61" i="2"/>
  <c r="I61" i="2"/>
  <c r="AC60" i="2"/>
  <c r="AB60" i="2"/>
  <c r="AA60" i="2"/>
  <c r="L60" i="2"/>
  <c r="AC59" i="2"/>
  <c r="AB59" i="2"/>
  <c r="AA59" i="2"/>
  <c r="M59" i="2"/>
  <c r="AC58" i="2"/>
  <c r="AB58" i="2"/>
  <c r="AA58" i="2"/>
  <c r="L58" i="2"/>
  <c r="AC57" i="2"/>
  <c r="AB57" i="2"/>
  <c r="AA57" i="2"/>
  <c r="J57" i="2"/>
  <c r="AC56" i="2"/>
  <c r="AB56" i="2"/>
  <c r="AA56" i="2"/>
  <c r="AC53" i="2"/>
  <c r="AB53" i="2"/>
  <c r="AA53" i="2"/>
  <c r="J53" i="2"/>
  <c r="AC52" i="2"/>
  <c r="AB52" i="2"/>
  <c r="AA52" i="2"/>
  <c r="M52" i="2"/>
  <c r="I52" i="2"/>
  <c r="AC51" i="2"/>
  <c r="AB51" i="2"/>
  <c r="AA51" i="2"/>
  <c r="L51" i="2"/>
  <c r="AC50" i="2"/>
  <c r="AB50" i="2"/>
  <c r="AA50" i="2"/>
  <c r="L50" i="2"/>
  <c r="AC49" i="2"/>
  <c r="AB49" i="2"/>
  <c r="AA49" i="2"/>
  <c r="L49" i="2"/>
  <c r="AC48" i="2"/>
  <c r="AB48" i="2"/>
  <c r="AA48" i="2"/>
  <c r="L48" i="2"/>
  <c r="AC47" i="2"/>
  <c r="AB47" i="2"/>
  <c r="AA47" i="2"/>
  <c r="I47" i="2"/>
  <c r="AC46" i="2"/>
  <c r="AB46" i="2"/>
  <c r="AA46" i="2"/>
  <c r="M46" i="2"/>
  <c r="J46" i="2"/>
  <c r="I46" i="2"/>
  <c r="AC45" i="2"/>
  <c r="AB45" i="2"/>
  <c r="AA45" i="2"/>
  <c r="L45" i="2"/>
  <c r="AC44" i="2"/>
  <c r="AB44" i="2"/>
  <c r="AA44" i="2"/>
  <c r="M44" i="2"/>
  <c r="I44" i="2"/>
  <c r="AC43" i="2"/>
  <c r="AB43" i="2"/>
  <c r="AA43" i="2"/>
  <c r="I43" i="2"/>
  <c r="AC42" i="2"/>
  <c r="AB42" i="2"/>
  <c r="AA42" i="2"/>
  <c r="L42" i="2"/>
  <c r="AC41" i="2"/>
  <c r="AB41" i="2"/>
  <c r="AA41" i="2"/>
  <c r="L41" i="2"/>
  <c r="Z40" i="2"/>
  <c r="AC39" i="2"/>
  <c r="AB39" i="2"/>
  <c r="AA39" i="2"/>
  <c r="M39" i="2"/>
  <c r="AC38" i="2"/>
  <c r="AB38" i="2"/>
  <c r="AA38" i="2"/>
  <c r="J38" i="2"/>
  <c r="I38" i="2"/>
  <c r="AC37" i="2"/>
  <c r="AB37" i="2"/>
  <c r="AA37" i="2"/>
  <c r="L37" i="2"/>
  <c r="AC36" i="2"/>
  <c r="AB36" i="2"/>
  <c r="AA36" i="2"/>
  <c r="M36" i="2"/>
  <c r="AC35" i="2"/>
  <c r="AB35" i="2"/>
  <c r="AA35" i="2"/>
  <c r="L35" i="2"/>
  <c r="AC34" i="2"/>
  <c r="AB34" i="2"/>
  <c r="AA34" i="2"/>
  <c r="J34" i="2"/>
  <c r="AC33" i="2"/>
  <c r="AB33" i="2"/>
  <c r="AA33" i="2"/>
  <c r="AC30" i="2"/>
  <c r="AB30" i="2"/>
  <c r="J30" i="2"/>
  <c r="I30" i="2"/>
  <c r="AA30" i="2" s="1"/>
  <c r="AC29" i="2"/>
  <c r="AB29" i="2"/>
  <c r="J29" i="2"/>
  <c r="I29" i="2"/>
  <c r="AA29" i="2" s="1"/>
  <c r="Z28" i="2"/>
  <c r="L27" i="2"/>
  <c r="L26" i="2"/>
  <c r="Z25" i="2"/>
  <c r="M24" i="2"/>
  <c r="Z23" i="2"/>
  <c r="O23" i="2"/>
  <c r="Z22" i="2"/>
  <c r="AC20" i="2"/>
  <c r="AB20" i="2"/>
  <c r="AA20" i="2"/>
  <c r="J20" i="2"/>
  <c r="I20" i="2"/>
  <c r="AC19" i="2"/>
  <c r="AB19" i="2"/>
  <c r="J19" i="2"/>
  <c r="J9" i="2" s="1"/>
  <c r="I19" i="2"/>
  <c r="Z18" i="2"/>
  <c r="L17" i="2"/>
  <c r="L16" i="2"/>
  <c r="L9" i="2" s="1"/>
  <c r="Z15" i="2"/>
  <c r="M14" i="2"/>
  <c r="M9" i="2" s="1"/>
  <c r="Z13" i="2"/>
  <c r="O13" i="2"/>
  <c r="O9" i="2" s="1"/>
  <c r="Z12" i="2"/>
  <c r="Q9" i="2"/>
  <c r="P9" i="2"/>
  <c r="N9" i="2"/>
  <c r="K9" i="2"/>
  <c r="H8" i="2"/>
  <c r="E5" i="2"/>
  <c r="E4" i="2"/>
  <c r="F3" i="2"/>
  <c r="E3" i="2"/>
  <c r="F2" i="2"/>
  <c r="E2" i="2"/>
  <c r="I119" i="1"/>
  <c r="I118" i="1"/>
  <c r="AC117" i="1"/>
  <c r="AB117" i="1"/>
  <c r="AA117" i="1"/>
  <c r="I117" i="1"/>
  <c r="AC116" i="1"/>
  <c r="AB116" i="1"/>
  <c r="AA116" i="1"/>
  <c r="I116" i="1"/>
  <c r="AC115" i="1"/>
  <c r="AB115" i="1"/>
  <c r="AA115" i="1"/>
  <c r="I115" i="1"/>
  <c r="AC114" i="1"/>
  <c r="AB114" i="1"/>
  <c r="AA114" i="1"/>
  <c r="K114" i="1"/>
  <c r="K9" i="1" s="1"/>
  <c r="AC113" i="1"/>
  <c r="AB113" i="1"/>
  <c r="AA113" i="1"/>
  <c r="I113" i="1"/>
  <c r="AC112" i="1"/>
  <c r="AB112" i="1"/>
  <c r="AA112" i="1"/>
  <c r="AC111" i="1"/>
  <c r="AB111" i="1"/>
  <c r="AA111" i="1"/>
  <c r="AC110" i="1"/>
  <c r="AB110" i="1"/>
  <c r="AA110" i="1"/>
  <c r="I110" i="1"/>
  <c r="Z107" i="1"/>
  <c r="Z105" i="1"/>
  <c r="O105" i="1"/>
  <c r="O9" i="1" s="1"/>
  <c r="AC104" i="1"/>
  <c r="AB104" i="1"/>
  <c r="AA104" i="1"/>
  <c r="I104" i="1"/>
  <c r="Z101" i="1"/>
  <c r="Z100" i="1"/>
  <c r="I99" i="1"/>
  <c r="AC98" i="1"/>
  <c r="AB98" i="1"/>
  <c r="AA98" i="1"/>
  <c r="I98" i="1"/>
  <c r="AC97" i="1"/>
  <c r="AB97" i="1"/>
  <c r="AA97" i="1"/>
  <c r="L97" i="1"/>
  <c r="AC96" i="1"/>
  <c r="AB96" i="1"/>
  <c r="AA96" i="1"/>
  <c r="I96" i="1"/>
  <c r="AC95" i="1"/>
  <c r="AB95" i="1"/>
  <c r="AA95" i="1"/>
  <c r="L95" i="1"/>
  <c r="AC94" i="1"/>
  <c r="AB94" i="1"/>
  <c r="AA94" i="1"/>
  <c r="I94" i="1"/>
  <c r="AC93" i="1"/>
  <c r="AB93" i="1"/>
  <c r="AA93" i="1"/>
  <c r="L93" i="1"/>
  <c r="AC92" i="1"/>
  <c r="AB92" i="1"/>
  <c r="AA92" i="1"/>
  <c r="I92" i="1"/>
  <c r="AC91" i="1"/>
  <c r="AB91" i="1"/>
  <c r="AA91" i="1"/>
  <c r="I91" i="1"/>
  <c r="AC90" i="1"/>
  <c r="AB90" i="1"/>
  <c r="AA90" i="1"/>
  <c r="I90" i="1"/>
  <c r="AC89" i="1"/>
  <c r="AB89" i="1"/>
  <c r="AA89" i="1"/>
  <c r="I89" i="1"/>
  <c r="AC88" i="1"/>
  <c r="AB88" i="1"/>
  <c r="AA88" i="1"/>
  <c r="I88" i="1"/>
  <c r="AC87" i="1"/>
  <c r="AB87" i="1"/>
  <c r="AA87" i="1"/>
  <c r="I87" i="1"/>
  <c r="AC84" i="1"/>
  <c r="AB84" i="1"/>
  <c r="AA84" i="1"/>
  <c r="M84" i="1"/>
  <c r="J84" i="1"/>
  <c r="I84" i="1"/>
  <c r="Z81" i="1"/>
  <c r="Z79" i="1"/>
  <c r="AC78" i="1"/>
  <c r="AB78" i="1"/>
  <c r="AA78" i="1"/>
  <c r="L78" i="1"/>
  <c r="AC77" i="1"/>
  <c r="AB77" i="1"/>
  <c r="AA77" i="1"/>
  <c r="L77" i="1"/>
  <c r="Z76" i="1"/>
  <c r="AC75" i="1"/>
  <c r="AB75" i="1"/>
  <c r="AA75" i="1"/>
  <c r="I75" i="1"/>
  <c r="AC74" i="1"/>
  <c r="AB74" i="1"/>
  <c r="AA74" i="1"/>
  <c r="J74" i="1"/>
  <c r="I74" i="1"/>
  <c r="AC73" i="1"/>
  <c r="AB73" i="1"/>
  <c r="AA73" i="1"/>
  <c r="I73" i="1"/>
  <c r="AC72" i="1"/>
  <c r="AB72" i="1"/>
  <c r="AA72" i="1"/>
  <c r="J72" i="1"/>
  <c r="I72" i="1"/>
  <c r="AC71" i="1"/>
  <c r="AB71" i="1"/>
  <c r="AA71" i="1"/>
  <c r="M71" i="1"/>
  <c r="Z67" i="1"/>
  <c r="AC66" i="1"/>
  <c r="AB66" i="1"/>
  <c r="AA66" i="1"/>
  <c r="L66" i="1"/>
  <c r="AC65" i="1"/>
  <c r="AB65" i="1"/>
  <c r="AA65" i="1"/>
  <c r="M65" i="1"/>
  <c r="AC63" i="1"/>
  <c r="AB63" i="1"/>
  <c r="AA63" i="1"/>
  <c r="L63" i="1"/>
  <c r="AC62" i="1"/>
  <c r="AB62" i="1"/>
  <c r="AA62" i="1"/>
  <c r="I62" i="1"/>
  <c r="AC61" i="1"/>
  <c r="AB61" i="1"/>
  <c r="AA61" i="1"/>
  <c r="L61" i="1"/>
  <c r="AC60" i="1"/>
  <c r="AB60" i="1"/>
  <c r="AA60" i="1"/>
  <c r="L60" i="1"/>
  <c r="Z59" i="1"/>
  <c r="Z58" i="1"/>
  <c r="Z57" i="1"/>
  <c r="AC56" i="1"/>
  <c r="AB56" i="1"/>
  <c r="AA56" i="1"/>
  <c r="L56" i="1"/>
  <c r="AC55" i="1"/>
  <c r="AB55" i="1"/>
  <c r="AA55" i="1"/>
  <c r="M55" i="1"/>
  <c r="Z52" i="1"/>
  <c r="AC51" i="1"/>
  <c r="AB51" i="1"/>
  <c r="AA51" i="1"/>
  <c r="L51" i="1"/>
  <c r="AC50" i="1"/>
  <c r="AB50" i="1"/>
  <c r="AA50" i="1"/>
  <c r="L50" i="1"/>
  <c r="Z49" i="1"/>
  <c r="AC48" i="1"/>
  <c r="AB48" i="1"/>
  <c r="AA48" i="1"/>
  <c r="M48" i="1"/>
  <c r="Z45" i="1"/>
  <c r="AC44" i="1"/>
  <c r="AB44" i="1"/>
  <c r="AA44" i="1"/>
  <c r="L44" i="1"/>
  <c r="AC43" i="1"/>
  <c r="AB43" i="1"/>
  <c r="AA43" i="1"/>
  <c r="I43" i="1"/>
  <c r="AC42" i="1"/>
  <c r="AB42" i="1"/>
  <c r="AA42" i="1"/>
  <c r="J42" i="1"/>
  <c r="I42" i="1"/>
  <c r="Z41" i="1"/>
  <c r="AC40" i="1"/>
  <c r="AB40" i="1"/>
  <c r="AA40" i="1"/>
  <c r="J40" i="1"/>
  <c r="I40" i="1"/>
  <c r="Z39" i="1"/>
  <c r="AC37" i="1"/>
  <c r="AB37" i="1"/>
  <c r="L37" i="1"/>
  <c r="AA37" i="1" s="1"/>
  <c r="AC36" i="1"/>
  <c r="AB36" i="1"/>
  <c r="L36" i="1"/>
  <c r="AA36" i="1" s="1"/>
  <c r="AC35" i="1"/>
  <c r="AB35" i="1"/>
  <c r="L35" i="1"/>
  <c r="AA35" i="1" s="1"/>
  <c r="AC34" i="1"/>
  <c r="AB34" i="1"/>
  <c r="L34" i="1"/>
  <c r="AA34" i="1" s="1"/>
  <c r="AC33" i="1"/>
  <c r="AB33" i="1"/>
  <c r="L33" i="1"/>
  <c r="AA33" i="1" s="1"/>
  <c r="AC32" i="1"/>
  <c r="AB32" i="1"/>
  <c r="L32" i="1"/>
  <c r="AA32" i="1" s="1"/>
  <c r="Z30" i="1"/>
  <c r="AC29" i="1"/>
  <c r="AB29" i="1"/>
  <c r="AA29" i="1"/>
  <c r="L29" i="1"/>
  <c r="AC28" i="1"/>
  <c r="AB28" i="1"/>
  <c r="AA28" i="1"/>
  <c r="I28" i="1"/>
  <c r="AC27" i="1"/>
  <c r="AB27" i="1"/>
  <c r="AA27" i="1"/>
  <c r="J27" i="1"/>
  <c r="I27" i="1"/>
  <c r="Z26" i="1"/>
  <c r="AC25" i="1"/>
  <c r="AB25" i="1"/>
  <c r="AA25" i="1"/>
  <c r="J25" i="1"/>
  <c r="I25" i="1"/>
  <c r="Z24" i="1"/>
  <c r="AC22" i="1"/>
  <c r="AB22" i="1"/>
  <c r="L22" i="1"/>
  <c r="AA22" i="1" s="1"/>
  <c r="AC21" i="1"/>
  <c r="AB21" i="1"/>
  <c r="L21" i="1"/>
  <c r="AA21" i="1" s="1"/>
  <c r="AC20" i="1"/>
  <c r="AB20" i="1"/>
  <c r="L20" i="1"/>
  <c r="AA20" i="1" s="1"/>
  <c r="AC19" i="1"/>
  <c r="AB19" i="1"/>
  <c r="L19" i="1"/>
  <c r="AA19" i="1" s="1"/>
  <c r="AC18" i="1"/>
  <c r="AB18" i="1"/>
  <c r="L18" i="1"/>
  <c r="AA18" i="1" s="1"/>
  <c r="AC17" i="1"/>
  <c r="AB17" i="1"/>
  <c r="L17" i="1"/>
  <c r="AA17" i="1" s="1"/>
  <c r="AC15" i="1"/>
  <c r="AB15" i="1"/>
  <c r="I15" i="1"/>
  <c r="AA15" i="1" s="1"/>
  <c r="AC14" i="1"/>
  <c r="AB14" i="1"/>
  <c r="J14" i="1"/>
  <c r="I14" i="1"/>
  <c r="AA14" i="1" s="1"/>
  <c r="AC13" i="1"/>
  <c r="AB13" i="1"/>
  <c r="I13" i="1"/>
  <c r="AA13" i="1" s="1"/>
  <c r="AC12" i="1"/>
  <c r="AB12" i="1"/>
  <c r="J12" i="1"/>
  <c r="I12" i="1"/>
  <c r="AA12" i="1" s="1"/>
  <c r="Q9" i="1"/>
  <c r="P9" i="1"/>
  <c r="N9" i="1"/>
  <c r="H8" i="1"/>
  <c r="E5" i="1"/>
  <c r="E4" i="1"/>
  <c r="E3" i="1"/>
  <c r="E2" i="1"/>
  <c r="M9" i="1" l="1"/>
  <c r="I9" i="1"/>
  <c r="J9" i="1"/>
  <c r="AA19" i="2"/>
  <c r="L9" i="1"/>
  <c r="J9" i="3"/>
  <c r="I9" i="2"/>
  <c r="H9" i="1" l="1"/>
  <c r="H9" i="2" l="1"/>
</calcChain>
</file>

<file path=xl/sharedStrings.xml><?xml version="1.0" encoding="utf-8"?>
<sst xmlns="http://schemas.openxmlformats.org/spreadsheetml/2006/main" count="1040" uniqueCount="333">
  <si>
    <t>Project:</t>
  </si>
  <si>
    <t>Nummer:</t>
  </si>
  <si>
    <t>Software</t>
  </si>
  <si>
    <t>Betreft:</t>
  </si>
  <si>
    <t>S = Standaard</t>
  </si>
  <si>
    <t>Datum:</t>
  </si>
  <si>
    <t>M = Maatwerk</t>
  </si>
  <si>
    <t>Procescodering</t>
  </si>
  <si>
    <t>Elektrisch</t>
  </si>
  <si>
    <t>MW/MIW</t>
  </si>
  <si>
    <t>Aantal</t>
  </si>
  <si>
    <t>Omschrijving</t>
  </si>
  <si>
    <t>Opmerkingen</t>
  </si>
  <si>
    <t>Veldapparatuur levering Coneco</t>
  </si>
  <si>
    <t>DI</t>
  </si>
  <si>
    <t>DOm</t>
  </si>
  <si>
    <t>DO</t>
  </si>
  <si>
    <t>AI</t>
  </si>
  <si>
    <t>AOm</t>
  </si>
  <si>
    <t>AO</t>
  </si>
  <si>
    <t>IW</t>
  </si>
  <si>
    <t>VW</t>
  </si>
  <si>
    <t>Protocol</t>
  </si>
  <si>
    <t>Poort</t>
  </si>
  <si>
    <t>P</t>
  </si>
  <si>
    <t>U</t>
  </si>
  <si>
    <t>I</t>
  </si>
  <si>
    <t>Naam</t>
  </si>
  <si>
    <t>Datum</t>
  </si>
  <si>
    <t>Nummer</t>
  </si>
  <si>
    <t>KS = Kopie Standaard</t>
  </si>
  <si>
    <t>Systeemnummer</t>
  </si>
  <si>
    <t>Apparaatcode+volgnummer</t>
  </si>
  <si>
    <t>technische ruimte bg</t>
  </si>
  <si>
    <t>Veld. levering derden</t>
  </si>
  <si>
    <t>kW</t>
  </si>
  <si>
    <t>V</t>
  </si>
  <si>
    <t>A</t>
  </si>
  <si>
    <t>KM = Kopie Maatwerk</t>
  </si>
  <si>
    <t>CV/GKE omschakeling</t>
  </si>
  <si>
    <t>CV11</t>
  </si>
  <si>
    <t>Smoorafsluiter aanvoer CV</t>
  </si>
  <si>
    <t>2-weg DN**</t>
  </si>
  <si>
    <t>SAL81.00T40/ASC10.51/VFW41.80</t>
  </si>
  <si>
    <t>Hulprelais 24V/230VAC</t>
  </si>
  <si>
    <t>M</t>
  </si>
  <si>
    <t>CV12</t>
  </si>
  <si>
    <t>Smoorafsluiter retour CV</t>
  </si>
  <si>
    <t>CV21</t>
  </si>
  <si>
    <t>Smoorafsluiter aanvoer GKW</t>
  </si>
  <si>
    <t>CV22</t>
  </si>
  <si>
    <t>Smoorafsluiter retour GKW</t>
  </si>
  <si>
    <t>TT01</t>
  </si>
  <si>
    <t>(centrale) Uittredetemp. CV warmtepompen</t>
  </si>
  <si>
    <t>voor buffervat</t>
  </si>
  <si>
    <t>QAE3174D.010 /ALT-SB100</t>
  </si>
  <si>
    <t>TT03</t>
  </si>
  <si>
    <t>Temperatuur buffervat CV boven</t>
  </si>
  <si>
    <t>QAP22/ALT-SB280</t>
  </si>
  <si>
    <t>TT05</t>
  </si>
  <si>
    <t>Temperatuur buffervat CV onder</t>
  </si>
  <si>
    <t>TT08</t>
  </si>
  <si>
    <t>Aanvoertemperatuur CV warmtepompen na buffervat</t>
  </si>
  <si>
    <t>Retourtemperatuur CV warmtepompen na buffervat</t>
  </si>
  <si>
    <t>PT</t>
  </si>
  <si>
    <t>Drukverschilopnemer</t>
  </si>
  <si>
    <t>QBE3000-D2.5/1xAQB2002</t>
  </si>
  <si>
    <t>CP0x</t>
  </si>
  <si>
    <t>Transportpomp 1</t>
  </si>
  <si>
    <t>Voeding pomp 230V max 1kW</t>
  </si>
  <si>
    <t>Modbus RTU M</t>
  </si>
  <si>
    <t>RS485-4</t>
  </si>
  <si>
    <t>CV</t>
  </si>
  <si>
    <t>Afsluiter open/dicht</t>
  </si>
  <si>
    <t>S</t>
  </si>
  <si>
    <t>Transportpomp 2</t>
  </si>
  <si>
    <t>RP01</t>
  </si>
  <si>
    <t>Expansieautomaat CV (storing)</t>
  </si>
  <si>
    <t>Voeding 230V 10A 1p+N</t>
  </si>
  <si>
    <t>PT01</t>
  </si>
  <si>
    <t>Installatiedruk CV</t>
  </si>
  <si>
    <t>QBE2003-P6</t>
  </si>
  <si>
    <t>WQ11</t>
  </si>
  <si>
    <t xml:space="preserve">Energiemeter </t>
  </si>
  <si>
    <t>Levering derden Voorkeur in MWh/kWh</t>
  </si>
  <si>
    <t>RS485-2</t>
  </si>
  <si>
    <t>TT201</t>
  </si>
  <si>
    <t>(centrale) Uittredetemp GKW warmtepompen</t>
  </si>
  <si>
    <t>TT203</t>
  </si>
  <si>
    <t>Temperatuur buffervat GKW boven</t>
  </si>
  <si>
    <t>TT205</t>
  </si>
  <si>
    <t>Temperatuur buffervat GKW onder</t>
  </si>
  <si>
    <t>TT208</t>
  </si>
  <si>
    <t>Aanvoertemperatuur GKW warmtepompen na buffervat</t>
  </si>
  <si>
    <t>TT209</t>
  </si>
  <si>
    <t>Retourtemperatuur GKW warmtepompen voor buffervat</t>
  </si>
  <si>
    <t>Expansieautomaat GKW (storing)</t>
  </si>
  <si>
    <t>Installatiedruk GKW</t>
  </si>
  <si>
    <t>Voorregelgroep Naverwarmers</t>
  </si>
  <si>
    <t>Regelafsluiter drukonafhankelijk</t>
  </si>
  <si>
    <t>SAX61P03/VPF44.65F35</t>
  </si>
  <si>
    <t>Circulatiepomp</t>
  </si>
  <si>
    <t>Aanvoerwatertemperatuur</t>
  </si>
  <si>
    <t>TT02</t>
  </si>
  <si>
    <t>Retourwatertemperatuur</t>
  </si>
  <si>
    <t>Voorregelgroep Vloerverwarming/koeling</t>
  </si>
  <si>
    <t>Circulatiepomp secun.</t>
  </si>
  <si>
    <t>Aanvoerwatertemperatuur secun.</t>
  </si>
  <si>
    <t>Retourwatertemperatuur secun.</t>
  </si>
  <si>
    <t>Regelafsluiter drukonafhankelijk GKW</t>
  </si>
  <si>
    <t>Energiemeter GKW</t>
  </si>
  <si>
    <t>Voorregelgroep LBK1/2</t>
  </si>
  <si>
    <t>Change-over groep 1 regelafsluiter</t>
  </si>
  <si>
    <t>CV03</t>
  </si>
  <si>
    <t>Regelafsluiter CV/GKW</t>
  </si>
  <si>
    <t>SAL81.00T20/ASC10.51/VFW41.65</t>
  </si>
  <si>
    <t>-</t>
  </si>
  <si>
    <t xml:space="preserve"> </t>
  </si>
  <si>
    <t>Energiemeter LBK CV</t>
  </si>
  <si>
    <t>Energiemeter LBK GKW</t>
  </si>
  <si>
    <t>Diverse ventilatie</t>
  </si>
  <si>
    <t>AV01</t>
  </si>
  <si>
    <t>Afvoerventilator</t>
  </si>
  <si>
    <t>Diverse installaties</t>
  </si>
  <si>
    <t>XA01</t>
  </si>
  <si>
    <t>Overspanningsbeveiligingen (E-installatie)</t>
  </si>
  <si>
    <t>51x</t>
  </si>
  <si>
    <t>Vuilwaterinstallatie (storing)</t>
  </si>
  <si>
    <t>Voeding lev. derden</t>
  </si>
  <si>
    <t>Hydrofoor (storing)</t>
  </si>
  <si>
    <t>Sprinklerinstallatie (storing)</t>
  </si>
  <si>
    <t>Liften (storing)</t>
  </si>
  <si>
    <t>Splitunit MER/SER (storing) bg</t>
  </si>
  <si>
    <t>TT11</t>
  </si>
  <si>
    <t>Ruimtetemperatuur MER/SER</t>
  </si>
  <si>
    <t>QAA2120</t>
  </si>
  <si>
    <t>Splitunit MER/SER (storing) 1e</t>
  </si>
  <si>
    <t>Splitunit MER/SER (storing) 2e</t>
  </si>
  <si>
    <t>LA01</t>
  </si>
  <si>
    <t>Wateroverlast</t>
  </si>
  <si>
    <t>Jola-SPS4</t>
  </si>
  <si>
    <t>MIVA  (storing)</t>
  </si>
  <si>
    <t xml:space="preserve">Koppeling met E installatie </t>
  </si>
  <si>
    <t>BACnet IP Client</t>
  </si>
  <si>
    <t>IP</t>
  </si>
  <si>
    <t>RIO01</t>
  </si>
  <si>
    <t>Remote IO module Metz (met interventie)</t>
  </si>
  <si>
    <t>MR-DO4</t>
  </si>
  <si>
    <t>RS485-1</t>
  </si>
  <si>
    <t>Verbruiksmeters</t>
  </si>
  <si>
    <t>FQ01</t>
  </si>
  <si>
    <t>Watermeter</t>
  </si>
  <si>
    <t>levering derden</t>
  </si>
  <si>
    <t>EQ01</t>
  </si>
  <si>
    <t xml:space="preserve">kWh meter </t>
  </si>
  <si>
    <t>Comforte CX datanet</t>
  </si>
  <si>
    <t>bl. 183</t>
  </si>
  <si>
    <t>Comforte CX</t>
  </si>
  <si>
    <t>RS485-3</t>
  </si>
  <si>
    <t>Algemeen</t>
  </si>
  <si>
    <t>XS01</t>
  </si>
  <si>
    <t>Storingsdoormelding urgent</t>
  </si>
  <si>
    <t>Hulprelais + signaallamp</t>
  </si>
  <si>
    <t>XS02</t>
  </si>
  <si>
    <t>Storingsdoormelding niet urgent</t>
  </si>
  <si>
    <t>XB01</t>
  </si>
  <si>
    <t>Reset storingen</t>
  </si>
  <si>
    <t>Reset storing (HW) (max. 4 contacten)</t>
  </si>
  <si>
    <t>XS04</t>
  </si>
  <si>
    <t>Melding interventie niet automatisch</t>
  </si>
  <si>
    <t>Brandmelding van BMC</t>
  </si>
  <si>
    <t>XB02</t>
  </si>
  <si>
    <t>Brandventilatie toevoer IN/AUT/UIT</t>
  </si>
  <si>
    <t>XB03</t>
  </si>
  <si>
    <t>Brandventilatie afvoer IN/AUT/UIT</t>
  </si>
  <si>
    <t>XA02</t>
  </si>
  <si>
    <t>Fasebewaking</t>
  </si>
  <si>
    <t>XA05</t>
  </si>
  <si>
    <t>Overspanningsbeveiliging</t>
  </si>
  <si>
    <t>Overspanningsbeveiliging t/m 63A</t>
  </si>
  <si>
    <t>Overige componenten in regelkast</t>
  </si>
  <si>
    <t>Stuurstroomautomaat</t>
  </si>
  <si>
    <t>Installatieautomaat 230V 10A</t>
  </si>
  <si>
    <t>Stuurstroomtrafo 24VAC</t>
  </si>
  <si>
    <t>Stuurstr. trafo 160VA + inst. automaat</t>
  </si>
  <si>
    <t>Wandcontactdoos</t>
  </si>
  <si>
    <t xml:space="preserve">WCD met randaarde voor railmontage </t>
  </si>
  <si>
    <t>Kastverlichting</t>
  </si>
  <si>
    <t>Kastverlichting + deurschakelaar</t>
  </si>
  <si>
    <t>T-Handgreep + cylinderslot staande kast</t>
  </si>
  <si>
    <t>Ethernet switch</t>
  </si>
  <si>
    <t>EDS-2005-ELP</t>
  </si>
  <si>
    <t>Legenda</t>
  </si>
  <si>
    <t>tekst</t>
  </si>
  <si>
    <t>Meer ten opzichte van opdracht</t>
  </si>
  <si>
    <t>Minder ten opzichte van opdracht</t>
  </si>
  <si>
    <t>Gegevens nog onbekend</t>
  </si>
  <si>
    <t>Meer/minder maar niet verrekenbaar</t>
  </si>
  <si>
    <t>2e verdieping</t>
  </si>
  <si>
    <t>Warmtepomp 2-pijps lucht/water</t>
  </si>
  <si>
    <t>WP01</t>
  </si>
  <si>
    <t>Warmtepomp 1</t>
  </si>
  <si>
    <t xml:space="preserve">Elektrameter warmtepomp </t>
  </si>
  <si>
    <t>Modbus</t>
  </si>
  <si>
    <t>CV01</t>
  </si>
  <si>
    <t>Regelafsluiter WP</t>
  </si>
  <si>
    <t>3-weg DN**</t>
  </si>
  <si>
    <t>SAV61.00/VXF42.65-63</t>
  </si>
  <si>
    <t>Intredewatertemperatuur WP</t>
  </si>
  <si>
    <t>TT12</t>
  </si>
  <si>
    <t>Uittredewatertemperatuur WP</t>
  </si>
  <si>
    <t xml:space="preserve">Energiemeter WP </t>
  </si>
  <si>
    <t xml:space="preserve">Smoorafsluiter aanvoer CV WP </t>
  </si>
  <si>
    <t>LV01</t>
  </si>
  <si>
    <t>Leidingverwarming (tracing)</t>
  </si>
  <si>
    <t>Voeding tracing 230V 10A geschakeld</t>
  </si>
  <si>
    <t>Warmtepomp 2</t>
  </si>
  <si>
    <t>Luchtbehandeling 1</t>
  </si>
  <si>
    <t>19.000 m3/h</t>
  </si>
  <si>
    <t>VL01</t>
  </si>
  <si>
    <t>LBK verlichting</t>
  </si>
  <si>
    <t>Aardlekautm. 1p+N ,10A,30mA C-kar</t>
  </si>
  <si>
    <t>CD01</t>
  </si>
  <si>
    <t>Aanzuigluchtklep (buitenlucht)</t>
  </si>
  <si>
    <t>GCA121.1E</t>
  </si>
  <si>
    <t>PdT01</t>
  </si>
  <si>
    <t>Drukverschil aanzuigfilter</t>
  </si>
  <si>
    <t>QBM2030-5</t>
  </si>
  <si>
    <t>CD04</t>
  </si>
  <si>
    <t>Bypass luchtklep kruisstroomwisselaar</t>
  </si>
  <si>
    <t>GEB161.1E</t>
  </si>
  <si>
    <t>PdT04</t>
  </si>
  <si>
    <t>Drukverschil kruisstroomwisselaar</t>
  </si>
  <si>
    <t>CD03</t>
  </si>
  <si>
    <t>Recirculatieluchtklep</t>
  </si>
  <si>
    <t>GLB141.1E</t>
  </si>
  <si>
    <t>Regelafsluiter verwarmer/koeler</t>
  </si>
  <si>
    <t>SAX61P03/VPF44.50F15</t>
  </si>
  <si>
    <t>Circulatiepomp verwarmer/koeler</t>
  </si>
  <si>
    <t>Aanvoertemperatuur verwarmer/koeler</t>
  </si>
  <si>
    <t>QAE2120.010</t>
  </si>
  <si>
    <t>TT06</t>
  </si>
  <si>
    <t>Retourtemperatuur verwarmer/koeler</t>
  </si>
  <si>
    <t>TA01</t>
  </si>
  <si>
    <t>Vorstthermostaat</t>
  </si>
  <si>
    <t>QAF81.6</t>
  </si>
  <si>
    <t>TV01</t>
  </si>
  <si>
    <t>Toevoerventilator (EC motor)</t>
  </si>
  <si>
    <t>vrijgave na luchtklep open</t>
  </si>
  <si>
    <t>Voeding 400V 10A 3p</t>
  </si>
  <si>
    <t>Inblaasdruk (kanaal)</t>
  </si>
  <si>
    <t>QBM3020-5 + FK-PZ3</t>
  </si>
  <si>
    <t>SB01</t>
  </si>
  <si>
    <t>Stoombevochtiger</t>
  </si>
  <si>
    <t>MA01</t>
  </si>
  <si>
    <t>Maximaal hygrostaat</t>
  </si>
  <si>
    <t>QFM81.2</t>
  </si>
  <si>
    <t>TT/MT01</t>
  </si>
  <si>
    <t>Inblaaskanaal temperatuur / RV</t>
  </si>
  <si>
    <t>QFM2160</t>
  </si>
  <si>
    <t>PT02</t>
  </si>
  <si>
    <t>Retourdruk (kanaal)</t>
  </si>
  <si>
    <t>TT/MT02</t>
  </si>
  <si>
    <t xml:space="preserve">Retourkanaal temperatuur / RV </t>
  </si>
  <si>
    <t>PdT02</t>
  </si>
  <si>
    <t>Drukverschil afvoerfilter</t>
  </si>
  <si>
    <t>Afvoerventilator (EC motor)</t>
  </si>
  <si>
    <t>CD02</t>
  </si>
  <si>
    <t>Afvoerluchtklep (buitenlucht)</t>
  </si>
  <si>
    <t>Luchtbehandeling 2</t>
  </si>
  <si>
    <t>14.500 m3/h</t>
  </si>
  <si>
    <t>Weerstation</t>
  </si>
  <si>
    <t>Exclusief OSB/bliksemafl.</t>
  </si>
  <si>
    <t>WSC11 (zonder mast)</t>
  </si>
  <si>
    <t>Buitentemperatuur</t>
  </si>
  <si>
    <t>MT01</t>
  </si>
  <si>
    <t>Relatieve vocht</t>
  </si>
  <si>
    <t>Regendetectie</t>
  </si>
  <si>
    <t>VT04</t>
  </si>
  <si>
    <t>Zonlicht Noord</t>
  </si>
  <si>
    <t>VT03</t>
  </si>
  <si>
    <t>Zonlicht Oost</t>
  </si>
  <si>
    <t>VT02</t>
  </si>
  <si>
    <t>Zonlicht Zuid</t>
  </si>
  <si>
    <t>VT01</t>
  </si>
  <si>
    <t>Zonlicht West</t>
  </si>
  <si>
    <t>VT05</t>
  </si>
  <si>
    <t>Schemer</t>
  </si>
  <si>
    <t>RT01</t>
  </si>
  <si>
    <t>Globale straling</t>
  </si>
  <si>
    <t>ST01</t>
  </si>
  <si>
    <t>Windsnelheid</t>
  </si>
  <si>
    <t>XT02</t>
  </si>
  <si>
    <t>Windrichting</t>
  </si>
  <si>
    <t>Luchtdruk</t>
  </si>
  <si>
    <t>Weerstationmast</t>
  </si>
  <si>
    <t>Weermast tegelstatief</t>
  </si>
  <si>
    <t>Ruimteregelingen</t>
  </si>
  <si>
    <t>Opmerking</t>
  </si>
  <si>
    <t>A = Aanvullende licentie</t>
  </si>
  <si>
    <t>R = Remote IO</t>
  </si>
  <si>
    <t>Begane grond</t>
  </si>
  <si>
    <t>Ruimteregeling VAV + verwarmen</t>
  </si>
  <si>
    <t>Ruimteregelaar</t>
  </si>
  <si>
    <t>Comforte CX2 Basismodule</t>
  </si>
  <si>
    <t>Voedingstrafo</t>
  </si>
  <si>
    <t>Voedingsmodule 230/24Vac 30VA Comforte CX PS230-30E GST18</t>
  </si>
  <si>
    <t>Ruimtebedienapparaat</t>
  </si>
  <si>
    <t>Touchpoint One CO₂ wit</t>
  </si>
  <si>
    <t>Naregelafsluiter naverwarmer</t>
  </si>
  <si>
    <t>VPI46.15L0.2Q/SSA161.05</t>
  </si>
  <si>
    <t>Sturing VAV-box 0-10V toevoer</t>
  </si>
  <si>
    <t>VAV-box eigen regeling</t>
  </si>
  <si>
    <t>Levering derden</t>
  </si>
  <si>
    <t>Sturing VAV-box 0-10V afvoer</t>
  </si>
  <si>
    <t>via toevoer</t>
  </si>
  <si>
    <t>Naregelafsluiter vloerverwarming</t>
  </si>
  <si>
    <t>STA121.65L10/VQI46.15F1.3Q</t>
  </si>
  <si>
    <t>R</t>
  </si>
  <si>
    <t>Verlichtingschakeling</t>
  </si>
  <si>
    <t>DALI-S2R dual bus Modbus-DALI converter</t>
  </si>
  <si>
    <t>Multisensor</t>
  </si>
  <si>
    <t>MS4R Multisensor</t>
  </si>
  <si>
    <t>Zonweringsmodule</t>
  </si>
  <si>
    <t>Relais-uitgangsmodule 2x zonwering Comforte CX RO2-2 GST18</t>
  </si>
  <si>
    <t>1e Verdieping</t>
  </si>
  <si>
    <t>Ruimteregeling Verwarmen/koelen Slaapkamer/badkamer</t>
  </si>
  <si>
    <t>Naregelafsluiter vloerverwarming slaapkamer</t>
  </si>
  <si>
    <t>Naregelafsluiter vloerverwarming badkamer</t>
  </si>
  <si>
    <t>Ruimteregeling VAV + verwarmen Woonkamer</t>
  </si>
  <si>
    <t>2e Verdieping</t>
  </si>
  <si>
    <t>m</t>
  </si>
  <si>
    <t>899-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</si>
</sst>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13]d\ mmmm\ yyyy;@"/>
    <numFmt numFmtId="165" formatCode="[$-F800]dddd\,\ mmmm\ dd\,\ yyyy"/>
    <numFmt numFmtId="166" formatCode="0\ &quot;stuks&quot;"/>
  </numFmts>
  <fonts count="18" x14ac:knownFonts="1">
    <font>
      <sz val="10"/>
      <color theme="1"/>
      <name val="Verdana"/>
      <family val="2"/>
    </font>
    <font>
      <sz val="12.5"/>
      <name val="Calibri"/>
      <family val="2"/>
      <scheme val="minor"/>
    </font>
    <font>
      <b/>
      <sz val="12.5"/>
      <name val="Calibri"/>
      <family val="2"/>
      <scheme val="minor"/>
    </font>
    <font>
      <sz val="12.5"/>
      <name val="Calibri Light"/>
      <family val="2"/>
    </font>
    <font>
      <sz val="12.5"/>
      <color theme="1"/>
      <name val="Verdana"/>
      <family val="2"/>
    </font>
    <font>
      <b/>
      <sz val="12.5"/>
      <color theme="1"/>
      <name val="Verdana"/>
      <family val="2"/>
    </font>
    <font>
      <b/>
      <sz val="12.5"/>
      <name val="Calibri"/>
      <family val="2"/>
    </font>
    <font>
      <sz val="12.5"/>
      <color theme="1"/>
      <name val="Calibri"/>
      <family val="2"/>
      <scheme val="minor"/>
    </font>
    <font>
      <u/>
      <sz val="12.5"/>
      <color indexed="12"/>
      <name val="Calibri"/>
      <family val="2"/>
      <scheme val="minor"/>
    </font>
    <font>
      <sz val="12.5"/>
      <color theme="0" tint="-0.249977111117893"/>
      <name val="Calibri"/>
      <family val="2"/>
      <scheme val="minor"/>
    </font>
    <font>
      <sz val="12.5"/>
      <color rgb="FF00B050"/>
      <name val="Calibri"/>
      <family val="2"/>
      <scheme val="minor"/>
    </font>
    <font>
      <sz val="12.5"/>
      <color rgb="FFFF0000"/>
      <name val="Calibri"/>
      <family val="2"/>
      <scheme val="minor"/>
    </font>
    <font>
      <sz val="12.5"/>
      <color rgb="FFFFC000"/>
      <name val="Calibri"/>
      <family val="2"/>
      <scheme val="minor"/>
    </font>
    <font>
      <sz val="12.5"/>
      <color rgb="FF7030A0"/>
      <name val="Calibri"/>
      <family val="2"/>
      <scheme val="minor"/>
    </font>
    <font>
      <b/>
      <u/>
      <sz val="12.5"/>
      <name val="Calibri"/>
      <family val="2"/>
      <scheme val="minor"/>
    </font>
    <font>
      <b/>
      <sz val="12.5"/>
      <color theme="1"/>
      <name val="Calibri"/>
      <family val="2"/>
      <scheme val="minor"/>
    </font>
    <font>
      <sz val="12.5"/>
      <color theme="1"/>
      <name val="Calibri Light"/>
      <family val="2"/>
    </font>
    <font>
      <b/>
      <sz val="12.5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/>
    <xf numFmtId="0" fontId="2" fillId="3" borderId="0" xfId="0" applyFont="1" applyFill="1" applyAlignment="1">
      <alignment horizontal="left"/>
    </xf>
    <xf numFmtId="49" fontId="3" fillId="3" borderId="0" xfId="0" applyNumberFormat="1" applyFont="1" applyFill="1"/>
    <xf numFmtId="0" fontId="1" fillId="3" borderId="0" xfId="0" applyFont="1" applyFill="1" applyAlignment="1">
      <alignment horizontal="left"/>
    </xf>
    <xf numFmtId="0" fontId="1" fillId="3" borderId="0" xfId="0" applyFont="1" applyFill="1"/>
    <xf numFmtId="49" fontId="1" fillId="3" borderId="0" xfId="0" applyNumberFormat="1" applyFont="1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2" fontId="1" fillId="2" borderId="2" xfId="0" applyNumberFormat="1" applyFont="1" applyFill="1" applyBorder="1"/>
    <xf numFmtId="1" fontId="1" fillId="2" borderId="2" xfId="0" applyNumberFormat="1" applyFont="1" applyFill="1" applyBorder="1" applyAlignment="1">
      <alignment horizontal="center"/>
    </xf>
    <xf numFmtId="2" fontId="1" fillId="2" borderId="3" xfId="0" applyNumberFormat="1" applyFont="1" applyFill="1" applyBorder="1" applyAlignment="1">
      <alignment horizontal="center"/>
    </xf>
    <xf numFmtId="49" fontId="1" fillId="2" borderId="1" xfId="0" applyNumberFormat="1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3" borderId="0" xfId="0" applyNumberFormat="1" applyFont="1" applyFill="1" applyAlignment="1">
      <alignment horizontal="left"/>
    </xf>
    <xf numFmtId="14" fontId="1" fillId="3" borderId="0" xfId="0" applyNumberFormat="1" applyFont="1" applyFill="1" applyAlignment="1">
      <alignment horizontal="left" wrapText="1"/>
    </xf>
    <xf numFmtId="14" fontId="1" fillId="3" borderId="0" xfId="0" applyNumberFormat="1" applyFont="1" applyFill="1"/>
    <xf numFmtId="0" fontId="1" fillId="4" borderId="0" xfId="0" applyFont="1" applyFill="1" applyAlignment="1">
      <alignment horizontal="left"/>
    </xf>
    <xf numFmtId="2" fontId="1" fillId="2" borderId="0" xfId="0" applyNumberFormat="1" applyFont="1" applyFill="1" applyAlignment="1">
      <alignment horizontal="left"/>
    </xf>
    <xf numFmtId="1" fontId="1" fillId="2" borderId="0" xfId="0" applyNumberFormat="1" applyFont="1" applyFill="1" applyAlignment="1">
      <alignment horizontal="left" wrapText="1"/>
    </xf>
    <xf numFmtId="2" fontId="1" fillId="2" borderId="5" xfId="0" applyNumberFormat="1" applyFont="1" applyFill="1" applyBorder="1"/>
    <xf numFmtId="49" fontId="1" fillId="2" borderId="4" xfId="0" applyNumberFormat="1" applyFont="1" applyFill="1" applyBorder="1" applyAlignment="1">
      <alignment horizontal="left"/>
    </xf>
    <xf numFmtId="14" fontId="1" fillId="2" borderId="0" xfId="0" applyNumberFormat="1" applyFont="1" applyFill="1" applyAlignment="1">
      <alignment horizontal="left" wrapText="1"/>
    </xf>
    <xf numFmtId="14" fontId="1" fillId="2" borderId="5" xfId="0" applyNumberFormat="1" applyFont="1" applyFill="1" applyBorder="1"/>
    <xf numFmtId="0" fontId="2" fillId="4" borderId="0" xfId="0" applyFont="1" applyFill="1" applyAlignment="1">
      <alignment horizontal="center"/>
    </xf>
    <xf numFmtId="0" fontId="3" fillId="3" borderId="0" xfId="0" applyFont="1" applyFill="1" applyAlignment="1">
      <alignment horizontal="left"/>
    </xf>
    <xf numFmtId="0" fontId="1" fillId="3" borderId="0" xfId="0" applyFont="1" applyFill="1" applyAlignment="1">
      <alignment horizontal="right"/>
    </xf>
    <xf numFmtId="0" fontId="3" fillId="4" borderId="0" xfId="0" applyFont="1" applyFill="1" applyAlignment="1">
      <alignment horizontal="center"/>
    </xf>
    <xf numFmtId="164" fontId="3" fillId="3" borderId="0" xfId="0" applyNumberFormat="1" applyFont="1" applyFill="1" applyAlignment="1">
      <alignment horizontal="left"/>
    </xf>
    <xf numFmtId="165" fontId="1" fillId="3" borderId="0" xfId="0" applyNumberFormat="1" applyFont="1" applyFill="1" applyAlignment="1">
      <alignment horizontal="left"/>
    </xf>
    <xf numFmtId="165" fontId="1" fillId="2" borderId="4" xfId="0" applyNumberFormat="1" applyFont="1" applyFill="1" applyBorder="1" applyAlignment="1">
      <alignment horizontal="left"/>
    </xf>
    <xf numFmtId="0" fontId="1" fillId="2" borderId="0" xfId="0" applyFont="1" applyFill="1"/>
    <xf numFmtId="0" fontId="3" fillId="3" borderId="0" xfId="0" applyFont="1" applyFill="1"/>
    <xf numFmtId="2" fontId="1" fillId="2" borderId="6" xfId="0" applyNumberFormat="1" applyFont="1" applyFill="1" applyBorder="1" applyAlignment="1">
      <alignment horizontal="center"/>
    </xf>
    <xf numFmtId="1" fontId="1" fillId="2" borderId="6" xfId="0" applyNumberFormat="1" applyFont="1" applyFill="1" applyBorder="1" applyAlignment="1">
      <alignment horizontal="center"/>
    </xf>
    <xf numFmtId="2" fontId="1" fillId="2" borderId="7" xfId="0" applyNumberFormat="1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vertical="center" wrapText="1"/>
    </xf>
    <xf numFmtId="0" fontId="2" fillId="2" borderId="4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center" wrapText="1"/>
    </xf>
    <xf numFmtId="0" fontId="6" fillId="4" borderId="0" xfId="0" applyFont="1" applyFill="1" applyAlignment="1">
      <alignment horizontal="center" wrapText="1"/>
    </xf>
    <xf numFmtId="2" fontId="1" fillId="2" borderId="0" xfId="0" applyNumberFormat="1" applyFont="1" applyFill="1" applyAlignment="1">
      <alignment horizontal="center" wrapText="1"/>
    </xf>
    <xf numFmtId="1" fontId="1" fillId="2" borderId="0" xfId="0" applyNumberFormat="1" applyFont="1" applyFill="1" applyAlignment="1">
      <alignment horizontal="center" wrapText="1"/>
    </xf>
    <xf numFmtId="2" fontId="1" fillId="2" borderId="5" xfId="0" applyNumberFormat="1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wrapText="1"/>
    </xf>
    <xf numFmtId="0" fontId="3" fillId="4" borderId="0" xfId="0" applyFont="1" applyFill="1" applyAlignment="1">
      <alignment horizontal="center" wrapText="1"/>
    </xf>
    <xf numFmtId="2" fontId="1" fillId="2" borderId="7" xfId="0" applyNumberFormat="1" applyFont="1" applyFill="1" applyBorder="1" applyAlignment="1">
      <alignment horizontal="center" wrapText="1"/>
    </xf>
    <xf numFmtId="1" fontId="1" fillId="2" borderId="9" xfId="0" applyNumberFormat="1" applyFont="1" applyFill="1" applyBorder="1" applyAlignment="1">
      <alignment horizontal="center" wrapText="1"/>
    </xf>
    <xf numFmtId="2" fontId="1" fillId="2" borderId="9" xfId="0" applyNumberFormat="1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7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2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2" fontId="7" fillId="0" borderId="0" xfId="0" applyNumberFormat="1" applyFont="1"/>
    <xf numFmtId="1" fontId="1" fillId="0" borderId="0" xfId="0" applyNumberFormat="1" applyFont="1" applyAlignment="1">
      <alignment horizontal="left"/>
    </xf>
    <xf numFmtId="0" fontId="9" fillId="0" borderId="0" xfId="0" applyFont="1" applyAlignment="1">
      <alignment horizontal="center"/>
    </xf>
    <xf numFmtId="0" fontId="9" fillId="0" borderId="0" xfId="0" applyFont="1"/>
    <xf numFmtId="0" fontId="7" fillId="0" borderId="0" xfId="0" quotePrefix="1" applyFont="1"/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3" fillId="0" borderId="8" xfId="0" applyFont="1" applyBorder="1" applyAlignment="1">
      <alignment horizontal="left"/>
    </xf>
    <xf numFmtId="0" fontId="13" fillId="0" borderId="7" xfId="0" applyFont="1" applyBorder="1" applyAlignment="1">
      <alignment horizontal="left"/>
    </xf>
    <xf numFmtId="2" fontId="1" fillId="0" borderId="0" xfId="0" applyNumberFormat="1" applyFont="1"/>
    <xf numFmtId="1" fontId="1" fillId="0" borderId="0" xfId="0" applyNumberFormat="1" applyFont="1"/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center" wrapText="1"/>
    </xf>
    <xf numFmtId="0" fontId="14" fillId="0" borderId="0" xfId="0" applyFont="1" applyAlignment="1">
      <alignment horizontal="left"/>
    </xf>
    <xf numFmtId="166" fontId="1" fillId="0" borderId="0" xfId="0" applyNumberFormat="1" applyFont="1" applyAlignment="1">
      <alignment horizontal="left"/>
    </xf>
    <xf numFmtId="0" fontId="7" fillId="3" borderId="0" xfId="0" applyFont="1" applyFill="1" applyAlignment="1">
      <alignment horizontal="left"/>
    </xf>
    <xf numFmtId="0" fontId="7" fillId="3" borderId="0" xfId="0" applyFont="1" applyFill="1"/>
    <xf numFmtId="0" fontId="7" fillId="3" borderId="0" xfId="0" applyFont="1" applyFill="1" applyAlignment="1">
      <alignment horizontal="center"/>
    </xf>
    <xf numFmtId="49" fontId="7" fillId="4" borderId="0" xfId="0" applyNumberFormat="1" applyFont="1" applyFill="1"/>
    <xf numFmtId="49" fontId="1" fillId="2" borderId="0" xfId="0" applyNumberFormat="1" applyFont="1" applyFill="1"/>
    <xf numFmtId="0" fontId="1" fillId="2" borderId="0" xfId="0" applyFont="1" applyFill="1" applyAlignment="1">
      <alignment horizontal="center"/>
    </xf>
    <xf numFmtId="0" fontId="15" fillId="3" borderId="0" xfId="0" applyFont="1" applyFill="1" applyAlignment="1">
      <alignment horizontal="left"/>
    </xf>
    <xf numFmtId="14" fontId="7" fillId="3" borderId="0" xfId="0" applyNumberFormat="1" applyFont="1" applyFill="1"/>
    <xf numFmtId="49" fontId="7" fillId="4" borderId="0" xfId="0" applyNumberFormat="1" applyFont="1" applyFill="1" applyAlignment="1">
      <alignment horizontal="left"/>
    </xf>
    <xf numFmtId="49" fontId="1" fillId="2" borderId="0" xfId="0" applyNumberFormat="1" applyFont="1" applyFill="1" applyAlignment="1">
      <alignment horizontal="left"/>
    </xf>
    <xf numFmtId="14" fontId="1" fillId="2" borderId="0" xfId="0" applyNumberFormat="1" applyFont="1" applyFill="1"/>
    <xf numFmtId="0" fontId="16" fillId="3" borderId="0" xfId="0" applyFont="1" applyFill="1" applyAlignment="1">
      <alignment horizontal="left"/>
    </xf>
    <xf numFmtId="0" fontId="15" fillId="3" borderId="0" xfId="0" applyFont="1" applyFill="1" applyAlignment="1">
      <alignment horizontal="right"/>
    </xf>
    <xf numFmtId="165" fontId="7" fillId="3" borderId="0" xfId="0" applyNumberFormat="1" applyFont="1" applyFill="1" applyAlignment="1">
      <alignment horizontal="left"/>
    </xf>
    <xf numFmtId="165" fontId="7" fillId="4" borderId="0" xfId="0" applyNumberFormat="1" applyFont="1" applyFill="1" applyAlignment="1">
      <alignment horizontal="left"/>
    </xf>
    <xf numFmtId="165" fontId="1" fillId="2" borderId="0" xfId="0" applyNumberFormat="1" applyFont="1" applyFill="1" applyAlignment="1">
      <alignment horizontal="left"/>
    </xf>
    <xf numFmtId="0" fontId="15" fillId="4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5" fillId="3" borderId="0" xfId="0" applyFont="1" applyFill="1" applyAlignment="1">
      <alignment horizontal="left" vertical="center"/>
    </xf>
    <xf numFmtId="0" fontId="15" fillId="3" borderId="0" xfId="0" applyFont="1" applyFill="1" applyAlignment="1">
      <alignment horizontal="center" vertical="center" wrapText="1"/>
    </xf>
    <xf numFmtId="0" fontId="17" fillId="3" borderId="0" xfId="0" applyFont="1" applyFill="1" applyAlignment="1">
      <alignment horizontal="center" wrapText="1"/>
    </xf>
    <xf numFmtId="0" fontId="16" fillId="3" borderId="0" xfId="0" applyFont="1" applyFill="1" applyAlignment="1">
      <alignment horizontal="center" wrapText="1"/>
    </xf>
    <xf numFmtId="0" fontId="16" fillId="4" borderId="0" xfId="0" applyFont="1" applyFill="1" applyAlignment="1">
      <alignment horizontal="center" vertical="top"/>
    </xf>
    <xf numFmtId="0" fontId="16" fillId="3" borderId="0" xfId="0" applyFont="1" applyFill="1" applyAlignment="1">
      <alignment horizontal="left" vertical="top"/>
    </xf>
    <xf numFmtId="0" fontId="16" fillId="3" borderId="0" xfId="0" applyFont="1" applyFill="1" applyAlignment="1">
      <alignment horizontal="center" vertical="top"/>
    </xf>
    <xf numFmtId="0" fontId="7" fillId="0" borderId="0" xfId="0" applyFont="1" applyProtection="1">
      <protection locked="0"/>
    </xf>
    <xf numFmtId="0" fontId="7" fillId="0" borderId="0" xfId="0" applyFont="1" applyAlignment="1" applyProtection="1">
      <alignment horizontal="left"/>
      <protection locked="0"/>
    </xf>
    <xf numFmtId="1" fontId="8" fillId="0" borderId="0" xfId="0" applyNumberFormat="1" applyFont="1" applyAlignment="1" applyProtection="1">
      <alignment horizontal="left"/>
      <protection locked="0"/>
    </xf>
    <xf numFmtId="0" fontId="14" fillId="0" borderId="0" xfId="0" applyFont="1" applyAlignment="1" applyProtection="1">
      <alignment horizontal="left"/>
      <protection locked="0"/>
    </xf>
    <xf numFmtId="0" fontId="4" fillId="0" borderId="0" xfId="0" applyFont="1" applyAlignment="1" applyProtection="1">
      <alignment horizontal="left"/>
      <protection locked="0"/>
    </xf>
    <xf numFmtId="0" fontId="7" fillId="0" borderId="0" xfId="0" applyFont="1" applyAlignment="1" applyProtection="1">
      <alignment horizontal="center"/>
      <protection locked="0"/>
    </xf>
    <xf numFmtId="1" fontId="7" fillId="0" borderId="0" xfId="0" applyNumberFormat="1" applyFont="1" applyAlignment="1">
      <alignment horizontal="left"/>
    </xf>
    <xf numFmtId="1" fontId="8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1" fontId="1" fillId="0" borderId="0" xfId="0" applyNumberFormat="1" applyFont="1" applyAlignment="1" applyProtection="1">
      <alignment horizontal="left"/>
      <protection locked="0"/>
    </xf>
    <xf numFmtId="0" fontId="2" fillId="2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85725</xdr:colOff>
      <xdr:row>2</xdr:row>
      <xdr:rowOff>28575</xdr:rowOff>
    </xdr:from>
    <xdr:to>
      <xdr:col>16</xdr:col>
      <xdr:colOff>847725</xdr:colOff>
      <xdr:row>3</xdr:row>
      <xdr:rowOff>152400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7B7B1927-1295-4A91-BBD2-3D990A52B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32305" y="445770"/>
          <a:ext cx="1714500" cy="3352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95250</xdr:colOff>
      <xdr:row>2</xdr:row>
      <xdr:rowOff>28575</xdr:rowOff>
    </xdr:from>
    <xdr:to>
      <xdr:col>16</xdr:col>
      <xdr:colOff>857250</xdr:colOff>
      <xdr:row>3</xdr:row>
      <xdr:rowOff>152400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5E54E590-44EF-4B5B-95EC-8DBF8DAA0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36115" y="445770"/>
          <a:ext cx="1714500" cy="3352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104775</xdr:colOff>
      <xdr:row>2</xdr:row>
      <xdr:rowOff>47625</xdr:rowOff>
    </xdr:from>
    <xdr:to>
      <xdr:col>11</xdr:col>
      <xdr:colOff>161925</xdr:colOff>
      <xdr:row>3</xdr:row>
      <xdr:rowOff>171450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7C8A4B18-718A-44A8-8414-0FCEA5D13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80820" y="468630"/>
          <a:ext cx="1775460" cy="3276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V26-0899-1A%20Calculatietool%20v6.6.xlsb" TargetMode="External"/><Relationship Id="rId2" Type="http://schemas.openxmlformats.org/officeDocument/2006/relationships/externalLinkPath" Target="file:///S:\Verkoop\V26-xxxx\V26-0801-V26-0900\V26-0899%20NB%20Amarant%20Kloppend%20Hart%20-%20Tilburg\01%20verkooptraject\V26-0899-1A%20Calculatietool%20v6.6.xlsb" TargetMode="External"/><Relationship Id="rId1" Type="http://schemas.openxmlformats.org/officeDocument/2006/relationships/externalLinkPath" Target="/sites/ERCO-PRJ/Gedeelde%20documenten/03%20-%20Klanten/2026/7273%20Amarant%20Kloppend%20Hart%20te%20Tilburg/01%20-%20Aanvraag/01%20-%20V1/gegevens/V26-0899-1A%20Calculatietool%20v6.6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NR"/>
      <sheetName val="OH"/>
      <sheetName val="Specificatie_uren"/>
      <sheetName val="Verzamelblad"/>
      <sheetName val="OB"/>
      <sheetName val="WB"/>
      <sheetName val="Priva_VR"/>
      <sheetName val="Priva_NR"/>
      <sheetName val="VA_VR"/>
      <sheetName val="VA_NR"/>
      <sheetName val="Regelkast"/>
      <sheetName val="Inbouw_app_RK"/>
      <sheetName val="Services"/>
      <sheetName val="Algemeen"/>
      <sheetName val="Freq_Drives"/>
      <sheetName val="Prijsoverzicht"/>
      <sheetName val="Parameters"/>
      <sheetName val="Vrij_Invulbaar"/>
      <sheetName val="FTLStd"/>
      <sheetName val="NR_Std"/>
      <sheetName val="Logboek"/>
      <sheetName val="UpdateVersla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E2" t="str">
            <v>NB Amarant Kloppend Hart - Tilburg</v>
          </cell>
        </row>
        <row r="3">
          <cell r="E3" t="str">
            <v xml:space="preserve">V26-0899-1A </v>
          </cell>
        </row>
        <row r="10">
          <cell r="O10" t="str">
            <v>Nieuwbouw</v>
          </cell>
          <cell r="Q10" t="str">
            <v>Nieuwbouw</v>
          </cell>
        </row>
        <row r="57">
          <cell r="B57" t="str">
            <v>RK01</v>
          </cell>
        </row>
        <row r="58">
          <cell r="B58" t="str">
            <v>RK02</v>
          </cell>
        </row>
        <row r="82">
          <cell r="O82">
            <v>1</v>
          </cell>
          <cell r="Q82">
            <v>1</v>
          </cell>
        </row>
        <row r="85">
          <cell r="O85" t="str">
            <v>Nieuwbouw</v>
          </cell>
        </row>
        <row r="86">
          <cell r="O86" t="str">
            <v>Vervanging</v>
          </cell>
        </row>
        <row r="87">
          <cell r="O87" t="str">
            <v>Ombouw</v>
          </cell>
        </row>
        <row r="88">
          <cell r="O88" t="str">
            <v>Service</v>
          </cell>
        </row>
        <row r="98">
          <cell r="B98" t="str">
            <v>Warmtepomp 4-pijps</v>
          </cell>
        </row>
        <row r="99">
          <cell r="B99" t="str">
            <v>Warmtepomp 2-pijps</v>
          </cell>
        </row>
        <row r="100">
          <cell r="B100" t="str">
            <v>Luchtbehandelingskast</v>
          </cell>
        </row>
        <row r="101">
          <cell r="B101" t="str">
            <v>WTW unit</v>
          </cell>
        </row>
        <row r="102">
          <cell r="B102" t="str">
            <v>Energie of verbruiksmeter</v>
          </cell>
        </row>
        <row r="103">
          <cell r="B103" t="str">
            <v>Re-use work datakoppeling</v>
          </cell>
        </row>
        <row r="104">
          <cell r="B104" t="str">
            <v>RADA</v>
          </cell>
        </row>
        <row r="105">
          <cell r="B105" t="str">
            <v>Pomp standaard Wilo/Grundfos</v>
          </cell>
        </row>
        <row r="106">
          <cell r="B106" t="str">
            <v>Pomp WKO Wilo/Grundfos</v>
          </cell>
        </row>
        <row r="107">
          <cell r="B107" t="str">
            <v>Koelmachine</v>
          </cell>
        </row>
        <row r="108">
          <cell r="B108" t="str">
            <v>Weerstation WSC11</v>
          </cell>
        </row>
        <row r="109">
          <cell r="B109" t="str">
            <v>Frequentieregelaar</v>
          </cell>
        </row>
        <row r="110">
          <cell r="B110" t="str">
            <v>Intelligente klep standaard</v>
          </cell>
        </row>
        <row r="111">
          <cell r="B111" t="str">
            <v>Intelligente klep WKO</v>
          </cell>
        </row>
        <row r="112">
          <cell r="B112" t="str">
            <v>bGrid datapunten per ruimte</v>
          </cell>
        </row>
        <row r="113">
          <cell r="B113" t="str">
            <v>Meldingen en schakelingen E</v>
          </cell>
        </row>
        <row r="114">
          <cell r="B114" t="str">
            <v>Visualisatie systemen derden</v>
          </cell>
        </row>
        <row r="115">
          <cell r="B115" t="str">
            <v>VRF systeem</v>
          </cell>
        </row>
        <row r="116">
          <cell r="B116" t="str">
            <v>Virtuele ruimteregeling</v>
          </cell>
        </row>
      </sheetData>
      <sheetData sheetId="15"/>
      <sheetData sheetId="16"/>
      <sheetData sheetId="17"/>
      <sheetData sheetId="18">
        <row r="34">
          <cell r="B34" t="str">
            <v>Blue ID TouchPoint V2</v>
          </cell>
        </row>
        <row r="35">
          <cell r="B35" t="str">
            <v>Blue ID Wandopbouwframe</v>
          </cell>
        </row>
        <row r="36">
          <cell r="B36" t="str">
            <v>Blue ID TouchPoint Flush V2</v>
          </cell>
        </row>
        <row r="37">
          <cell r="B37" t="str">
            <v>Blue ID Paneelinbouwframe Flush</v>
          </cell>
        </row>
      </sheetData>
      <sheetData sheetId="19">
        <row r="7">
          <cell r="B7" t="str">
            <v>Basismodule Comforte CX v1.1</v>
          </cell>
        </row>
        <row r="8">
          <cell r="B8" t="str">
            <v>Comforte CX2 Basismodule</v>
          </cell>
        </row>
        <row r="9">
          <cell r="B9" t="str">
            <v xml:space="preserve">Comforte CX2 VAV Basismodule </v>
          </cell>
        </row>
        <row r="10">
          <cell r="B10" t="str">
            <v>Comforte CX2E Basismod.</v>
          </cell>
        </row>
        <row r="11">
          <cell r="B11" t="str">
            <v>Voedingsmodule 230/24Vac 30VA Comforte CX PS230-30E GST18</v>
          </cell>
        </row>
        <row r="12">
          <cell r="B12" t="str">
            <v>Voedingsmodule 230/24Vac 15VA Comforte CX PS230-30-15R GST18</v>
          </cell>
        </row>
        <row r="13">
          <cell r="B13" t="str">
            <v>Voedingsmodule 230/24Vac 30VA Comforte CX VAV PS230-30 GST18</v>
          </cell>
        </row>
        <row r="14">
          <cell r="B14" t="str">
            <v>Comforte CX VAV actuator 5 Nm AC-5</v>
          </cell>
        </row>
        <row r="18">
          <cell r="B18" t="str">
            <v>Comset CX (off-white)</v>
          </cell>
        </row>
        <row r="19">
          <cell r="B19" t="str">
            <v>Comset CX Fancoilunit (off-white)</v>
          </cell>
        </row>
        <row r="20">
          <cell r="B20" t="str">
            <v>Comset CX Hotel (off-white)</v>
          </cell>
        </row>
        <row r="21">
          <cell r="B21" t="str">
            <v>Comset CX Universeel (off-white)</v>
          </cell>
        </row>
        <row r="22">
          <cell r="B22" t="str">
            <v>Comset CX Universeel met functieselectie (off-white)</v>
          </cell>
        </row>
        <row r="23">
          <cell r="B23" t="str">
            <v>Comset CX (metal)</v>
          </cell>
        </row>
        <row r="24">
          <cell r="B24" t="str">
            <v>Comset CX Fancoilunit (metal)</v>
          </cell>
        </row>
        <row r="25">
          <cell r="B25" t="str">
            <v>Comset CX Hotel (metal)</v>
          </cell>
        </row>
        <row r="26">
          <cell r="B26" t="str">
            <v>Comset CX Universeel (metal)</v>
          </cell>
        </row>
        <row r="27">
          <cell r="B27" t="str">
            <v>Comset CX Universeel met functieselectie (metal)</v>
          </cell>
        </row>
        <row r="28">
          <cell r="B28" t="str">
            <v>Touchpoint One zwart</v>
          </cell>
        </row>
        <row r="29">
          <cell r="B29" t="str">
            <v>Touchpoint One wit</v>
          </cell>
        </row>
        <row r="30">
          <cell r="B30" t="str">
            <v>Touchpoint One CO₂ zwart</v>
          </cell>
        </row>
        <row r="31">
          <cell r="B31" t="str">
            <v>Touchpoint One CO₂ wit</v>
          </cell>
        </row>
        <row r="32">
          <cell r="B32" t="str">
            <v xml:space="preserve">Touchpoint One relatieve vochtigheid </v>
          </cell>
        </row>
        <row r="35">
          <cell r="B35" t="str">
            <v>Relais-uitgangsmodule 2x verlichting Comforte CX RO2-1L GST1</v>
          </cell>
        </row>
        <row r="36">
          <cell r="B36" t="str">
            <v>Relais-uitgangsmodule 2x zonwering Comforte CX RO2-2 GST18</v>
          </cell>
        </row>
        <row r="37">
          <cell r="B37" t="str">
            <v>Relais-uitgangsmodule 1x fancoilunit Comforte CX RO1-3 GST18</v>
          </cell>
        </row>
        <row r="38">
          <cell r="B38" t="str">
            <v>Relais-uitgangsmodule 24VDC 2 x zonwering Comforte</v>
          </cell>
        </row>
        <row r="39">
          <cell r="B39" t="str">
            <v>Relais-uitgangsmodule 2 x verlichting Comforte</v>
          </cell>
        </row>
        <row r="40">
          <cell r="B40" t="str">
            <v>Triac-uitgangsmodule Comforte CX SO4-1</v>
          </cell>
        </row>
        <row r="41">
          <cell r="B41" t="str">
            <v>Analoge-uitgangsmodule Comforte CX AO2-1 BST14+SC</v>
          </cell>
        </row>
        <row r="54">
          <cell r="B54" t="str">
            <v>------Roombus Hardware------</v>
          </cell>
        </row>
        <row r="55">
          <cell r="B55" t="str">
            <v>DALI-S2R dual bus Modbus-DALI converter</v>
          </cell>
        </row>
        <row r="56">
          <cell r="B56" t="str">
            <v>Roombus Connector kabel 10m RJ45 Roombus</v>
          </cell>
        </row>
        <row r="57">
          <cell r="B57" t="str">
            <v>MS4R Multisensor</v>
          </cell>
        </row>
        <row r="58">
          <cell r="B58" t="str">
            <v>MS4R-SM Bracket Plafondoppervlaksteun</v>
          </cell>
        </row>
        <row r="59">
          <cell r="B59" t="str">
            <v>MS4R-RM Bracket Plafondbevestigingsbeugel</v>
          </cell>
        </row>
        <row r="60">
          <cell r="B60" t="str">
            <v>MS4R-LS5 Lens Set</v>
          </cell>
        </row>
        <row r="61">
          <cell r="B61" t="str">
            <v>Roombus Termination module</v>
          </cell>
        </row>
        <row r="62">
          <cell r="B62" t="str">
            <v>------Roombus Software------</v>
          </cell>
        </row>
        <row r="63">
          <cell r="B63" t="str">
            <v>Roombus Belimo 6-Weg klep module</v>
          </cell>
        </row>
        <row r="64">
          <cell r="B64" t="str">
            <v>Vrij invulbaar HARDWARE</v>
          </cell>
        </row>
        <row r="65">
          <cell r="B65">
            <v>1</v>
          </cell>
        </row>
        <row r="66">
          <cell r="B66">
            <v>2</v>
          </cell>
        </row>
        <row r="67">
          <cell r="B67">
            <v>3</v>
          </cell>
        </row>
        <row r="69">
          <cell r="B69" t="str">
            <v>Vrij invulbaar SOFTWARE</v>
          </cell>
        </row>
        <row r="70">
          <cell r="B70">
            <v>4</v>
          </cell>
        </row>
        <row r="71">
          <cell r="B71">
            <v>5</v>
          </cell>
        </row>
        <row r="72">
          <cell r="B72">
            <v>6</v>
          </cell>
        </row>
      </sheetData>
      <sheetData sheetId="20">
        <row r="8">
          <cell r="C8" t="str">
            <v>--------Buiten TT--------</v>
          </cell>
        </row>
        <row r="9">
          <cell r="C9" t="str">
            <v>QAC22</v>
          </cell>
        </row>
        <row r="10">
          <cell r="C10" t="str">
            <v>--------Dompel TT--------</v>
          </cell>
        </row>
        <row r="11">
          <cell r="C11" t="str">
            <v>QAE2120.010</v>
          </cell>
        </row>
        <row r="12">
          <cell r="C12" t="str">
            <v>QAE2120.010/ALT-SS100</v>
          </cell>
        </row>
        <row r="13">
          <cell r="C13" t="str">
            <v>QAE3174D.010 /ALT-SB100</v>
          </cell>
        </row>
        <row r="14">
          <cell r="C14" t="str">
            <v>--------Kabel TT--------</v>
          </cell>
        </row>
        <row r="15">
          <cell r="C15" t="str">
            <v>QAP21.3/ALT-C001/ALT-SS150</v>
          </cell>
        </row>
        <row r="16">
          <cell r="C16" t="str">
            <v>QAP22</v>
          </cell>
        </row>
        <row r="17">
          <cell r="C17" t="str">
            <v>QAP22/ALT-SB280</v>
          </cell>
        </row>
        <row r="18">
          <cell r="C18" t="str">
            <v>--------Aanleg TT--------</v>
          </cell>
        </row>
        <row r="19">
          <cell r="C19" t="str">
            <v>QAD22</v>
          </cell>
        </row>
        <row r="20">
          <cell r="C20" t="str">
            <v>--------Ruimte TT--------</v>
          </cell>
        </row>
        <row r="21">
          <cell r="C21" t="str">
            <v>QAA2120</v>
          </cell>
        </row>
        <row r="22">
          <cell r="C22" t="str">
            <v>QAA64</v>
          </cell>
        </row>
        <row r="23">
          <cell r="C23" t="str">
            <v>QAA27</v>
          </cell>
        </row>
        <row r="24">
          <cell r="C24" t="str">
            <v>QAA2061D</v>
          </cell>
        </row>
        <row r="25">
          <cell r="C25" t="str">
            <v>Beschermkorf QAA..</v>
          </cell>
        </row>
        <row r="26">
          <cell r="C26" t="str">
            <v>--------Kanaal TT--------</v>
          </cell>
        </row>
        <row r="27">
          <cell r="C27" t="str">
            <v>QAM2120.040</v>
          </cell>
        </row>
        <row r="28">
          <cell r="C28" t="str">
            <v>QAM2120.200</v>
          </cell>
        </row>
        <row r="29">
          <cell r="C29" t="str">
            <v>--------Vorstthermostaat--------</v>
          </cell>
        </row>
        <row r="30">
          <cell r="C30" t="str">
            <v>QAF81.3</v>
          </cell>
        </row>
        <row r="31">
          <cell r="C31" t="str">
            <v>QAF81.6</v>
          </cell>
        </row>
        <row r="32">
          <cell r="C32" t="str">
            <v>--------Thermostaat CV/GKW--------</v>
          </cell>
        </row>
        <row r="33">
          <cell r="C33" t="str">
            <v>RAK-TW.1000HB</v>
          </cell>
        </row>
        <row r="34">
          <cell r="C34" t="str">
            <v>RAK-TW.5000S-H</v>
          </cell>
        </row>
        <row r="35">
          <cell r="C35" t="str">
            <v>--------Stromingsschakelaar--------</v>
          </cell>
        </row>
        <row r="36">
          <cell r="C36" t="str">
            <v>QVE1901</v>
          </cell>
        </row>
        <row r="38">
          <cell r="C38" t="str">
            <v>--------Ruimte RV--------</v>
          </cell>
        </row>
        <row r="39">
          <cell r="C39" t="str">
            <v>QFA2260</v>
          </cell>
        </row>
        <row r="40">
          <cell r="C40" t="str">
            <v>--------Kanaal RV--------</v>
          </cell>
        </row>
        <row r="41">
          <cell r="C41" t="str">
            <v>QFM2100</v>
          </cell>
        </row>
        <row r="42">
          <cell r="C42" t="str">
            <v>--------Hygrostaat--------</v>
          </cell>
        </row>
        <row r="43">
          <cell r="C43" t="str">
            <v>QFM81.2</v>
          </cell>
        </row>
        <row r="44">
          <cell r="C44" t="str">
            <v>--------Condensbescherming--------</v>
          </cell>
        </row>
        <row r="45">
          <cell r="C45" t="str">
            <v>QXA2100</v>
          </cell>
        </row>
        <row r="47">
          <cell r="C47" t="str">
            <v>--------Ruimte TT + RV--------</v>
          </cell>
        </row>
        <row r="48">
          <cell r="C48" t="str">
            <v>QFA2260</v>
          </cell>
        </row>
        <row r="49">
          <cell r="C49" t="str">
            <v>QFA3160</v>
          </cell>
        </row>
        <row r="50">
          <cell r="C50" t="str">
            <v>QFA2060D</v>
          </cell>
        </row>
        <row r="51">
          <cell r="C51" t="str">
            <v>--------Ruimte TT + CO2--------</v>
          </cell>
        </row>
        <row r="52">
          <cell r="C52" t="str">
            <v>QPA1064</v>
          </cell>
        </row>
        <row r="53">
          <cell r="C53" t="str">
            <v>QPA2360</v>
          </cell>
        </row>
        <row r="54">
          <cell r="C54" t="str">
            <v>QPA2060D</v>
          </cell>
        </row>
        <row r="55">
          <cell r="C55" t="str">
            <v>--------Ruimte TT + CO2 + RV--------</v>
          </cell>
        </row>
        <row r="56">
          <cell r="C56" t="str">
            <v>QPA2062</v>
          </cell>
        </row>
        <row r="57">
          <cell r="C57" t="str">
            <v>QPA2062D</v>
          </cell>
        </row>
        <row r="58">
          <cell r="C58" t="str">
            <v>--------Kanaal TT + RV--------</v>
          </cell>
        </row>
        <row r="59">
          <cell r="C59" t="str">
            <v>QFM2160</v>
          </cell>
        </row>
        <row r="60">
          <cell r="C60" t="str">
            <v>QFM3160D</v>
          </cell>
        </row>
        <row r="61">
          <cell r="C61" t="str">
            <v>--------Buiten TT + RV--------</v>
          </cell>
        </row>
        <row r="62">
          <cell r="C62" t="str">
            <v>QFA3171/AQF3100</v>
          </cell>
        </row>
        <row r="63">
          <cell r="C63" t="str">
            <v>--------Kanaal TT + CO2-------</v>
          </cell>
        </row>
        <row r="64">
          <cell r="C64" t="str">
            <v>QPM2160</v>
          </cell>
        </row>
        <row r="65">
          <cell r="C65" t="str">
            <v>--------Kanaal TT + CO2 + RV-------</v>
          </cell>
        </row>
        <row r="66">
          <cell r="C66" t="str">
            <v>QPM2162</v>
          </cell>
        </row>
        <row r="67">
          <cell r="C67" t="str">
            <v>QPM2162D</v>
          </cell>
        </row>
        <row r="69">
          <cell r="C69" t="str">
            <v>--------Drukverschil voor lucht--------</v>
          </cell>
        </row>
        <row r="70">
          <cell r="C70" t="str">
            <v>QBM3020-5 + FK-PZ3</v>
          </cell>
        </row>
        <row r="71">
          <cell r="C71" t="str">
            <v>QBM3020-5D + FK-PZ3</v>
          </cell>
        </row>
        <row r="72">
          <cell r="C72" t="str">
            <v>QBM2030-5</v>
          </cell>
        </row>
        <row r="73">
          <cell r="C73" t="str">
            <v>QBM2030-1U</v>
          </cell>
        </row>
        <row r="74">
          <cell r="C74" t="str">
            <v>QBM3020-1U + FK-PZ3</v>
          </cell>
        </row>
        <row r="75">
          <cell r="C75" t="str">
            <v>--------Drukverschilschakelaar lucht--------</v>
          </cell>
        </row>
        <row r="76">
          <cell r="C76" t="str">
            <v>QBM81-3</v>
          </cell>
        </row>
        <row r="77">
          <cell r="C77" t="str">
            <v>--------Water--------</v>
          </cell>
        </row>
        <row r="78">
          <cell r="C78" t="str">
            <v>QBE3000-D2.5/1xAQB2002</v>
          </cell>
        </row>
        <row r="79">
          <cell r="C79" t="str">
            <v>QBE2003-P6</v>
          </cell>
        </row>
        <row r="80">
          <cell r="C80" t="str">
            <v>QBE2003-P10</v>
          </cell>
        </row>
        <row r="82">
          <cell r="C82" t="str">
            <v>--------Standaard open/dicht--------</v>
          </cell>
        </row>
        <row r="83">
          <cell r="C83" t="str">
            <v>GDB141.1E</v>
          </cell>
        </row>
        <row r="84">
          <cell r="C84" t="str">
            <v>GLB141.1E</v>
          </cell>
        </row>
        <row r="85">
          <cell r="C85" t="str">
            <v>GEB141.1E</v>
          </cell>
        </row>
        <row r="86">
          <cell r="C86" t="str">
            <v>GEB146.1E</v>
          </cell>
        </row>
        <row r="87">
          <cell r="C87" t="str">
            <v>GBB131.1E</v>
          </cell>
        </row>
        <row r="88">
          <cell r="C88" t="str">
            <v>GIB131.1E</v>
          </cell>
        </row>
        <row r="89">
          <cell r="C89" t="str">
            <v>--------Open/dicht + veerteruggang--------</v>
          </cell>
        </row>
        <row r="90">
          <cell r="C90" t="str">
            <v>GMA121.1E</v>
          </cell>
        </row>
        <row r="91">
          <cell r="C91" t="str">
            <v>GMA131.1E</v>
          </cell>
        </row>
        <row r="92">
          <cell r="C92" t="str">
            <v>GCA121.1E</v>
          </cell>
        </row>
        <row r="93">
          <cell r="C93" t="str">
            <v>GCA131.1E</v>
          </cell>
        </row>
        <row r="94">
          <cell r="C94" t="str">
            <v>GMA126.1E</v>
          </cell>
        </row>
        <row r="95">
          <cell r="C95" t="str">
            <v>GCA126.1E</v>
          </cell>
        </row>
        <row r="96">
          <cell r="C96" t="str">
            <v>GCA135.1E</v>
          </cell>
        </row>
        <row r="97">
          <cell r="C97" t="str">
            <v>--------Standaard 0-10V--------</v>
          </cell>
        </row>
        <row r="98">
          <cell r="C98" t="str">
            <v>GDB161.1E</v>
          </cell>
        </row>
        <row r="99">
          <cell r="C99" t="str">
            <v>GLB161.1E</v>
          </cell>
        </row>
        <row r="100">
          <cell r="C100" t="str">
            <v>GEB161.1E</v>
          </cell>
        </row>
        <row r="101">
          <cell r="C101" t="str">
            <v>GBB161.1E</v>
          </cell>
        </row>
        <row r="102">
          <cell r="C102" t="str">
            <v>GIB161.1E</v>
          </cell>
        </row>
        <row r="103">
          <cell r="C103" t="str">
            <v>--------0-10V + veerteruggang--------</v>
          </cell>
        </row>
        <row r="104">
          <cell r="C104" t="str">
            <v>GMA161.1E</v>
          </cell>
        </row>
        <row r="105">
          <cell r="C105" t="str">
            <v>GCA161.1E</v>
          </cell>
        </row>
        <row r="106">
          <cell r="C106" t="str">
            <v>GMA164.1E</v>
          </cell>
        </row>
        <row r="107">
          <cell r="C107" t="str">
            <v>GCA164.1E</v>
          </cell>
        </row>
        <row r="110">
          <cell r="C110" t="str">
            <v>--------Overwerktimer--------</v>
          </cell>
        </row>
        <row r="111">
          <cell r="C111" t="str">
            <v>DOT-U/1</v>
          </cell>
        </row>
        <row r="112">
          <cell r="C112" t="str">
            <v>--------Luchtsnelheid--------</v>
          </cell>
        </row>
        <row r="113">
          <cell r="C113" t="str">
            <v>QVM62.1-HE</v>
          </cell>
        </row>
        <row r="114">
          <cell r="C114" t="str">
            <v>--------Luchtkwaliteit-------</v>
          </cell>
        </row>
        <row r="115">
          <cell r="C115" t="str">
            <v>QPA1004</v>
          </cell>
        </row>
        <row r="116">
          <cell r="C116" t="str">
            <v>--------Fijnstof-------</v>
          </cell>
        </row>
        <row r="117">
          <cell r="C117" t="str">
            <v>QSA2700</v>
          </cell>
        </row>
        <row r="118">
          <cell r="C118" t="str">
            <v>QSA2700D</v>
          </cell>
        </row>
        <row r="119">
          <cell r="C119" t="str">
            <v>--------Hulpcontact-------</v>
          </cell>
        </row>
        <row r="120">
          <cell r="C120" t="str">
            <v>ASC10.51</v>
          </cell>
        </row>
        <row r="121">
          <cell r="C121" t="str">
            <v>-----Remote IO (zonder interventie) Modbus RTU-----</v>
          </cell>
        </row>
        <row r="122">
          <cell r="C122" t="str">
            <v>EM1.8D</v>
          </cell>
        </row>
        <row r="123">
          <cell r="C123" t="str">
            <v>EM1.8R</v>
          </cell>
        </row>
        <row r="124">
          <cell r="C124" t="str">
            <v>EM1.8U</v>
          </cell>
        </row>
        <row r="125">
          <cell r="C125" t="str">
            <v>-----Omschakelafsluiters 3-weg | O/D | zonder eindcontact-----</v>
          </cell>
        </row>
        <row r="126">
          <cell r="C126" t="str">
            <v>VBI60.15-12T/GSD141.9A</v>
          </cell>
        </row>
        <row r="127">
          <cell r="C127" t="str">
            <v>VBI60.20-16T/GSD141.9A</v>
          </cell>
        </row>
        <row r="128">
          <cell r="C128" t="str">
            <v>VBI60.25-16T/GSD141.9A</v>
          </cell>
        </row>
        <row r="129">
          <cell r="C129" t="str">
            <v>VBI60.32-25T/GLB141.9E</v>
          </cell>
        </row>
        <row r="130">
          <cell r="C130" t="str">
            <v>VBI60.40-49T/GLB141.9E</v>
          </cell>
        </row>
        <row r="131">
          <cell r="C131" t="str">
            <v>VBI60.50-73T/GLB141.9E</v>
          </cell>
        </row>
        <row r="132">
          <cell r="C132" t="str">
            <v>-----Omschakelafsluiters 3-weg | O/D | met eindcontact-----</v>
          </cell>
        </row>
        <row r="133">
          <cell r="C133" t="str">
            <v>VBI60.15-12T/GLB146.1E/ASK77.3</v>
          </cell>
        </row>
        <row r="134">
          <cell r="C134" t="str">
            <v>VBI60.20-16T/GLB146.1E/ASK77.3</v>
          </cell>
        </row>
        <row r="135">
          <cell r="C135" t="str">
            <v>VBI60.25-16T/GLB146.1E/ASK77.3</v>
          </cell>
        </row>
        <row r="136">
          <cell r="C136" t="str">
            <v>VBI60.32-25T/GLB146.1E/ASK77.3</v>
          </cell>
        </row>
        <row r="137">
          <cell r="C137" t="str">
            <v>VBI60.40-49T/GLB146.1E/ASK77.3</v>
          </cell>
        </row>
        <row r="138">
          <cell r="C138" t="str">
            <v>VBI60.50-73T/GLB146.1E/ASK77.3</v>
          </cell>
        </row>
        <row r="139">
          <cell r="C139" t="str">
            <v>-----Kogelkranen 2-weg | O/D | zonder eindcontact-----</v>
          </cell>
        </row>
        <row r="140">
          <cell r="C140" t="str">
            <v>VAI60.15-15/GSD141.9A</v>
          </cell>
        </row>
        <row r="141">
          <cell r="C141" t="str">
            <v>VAI60.20-22/GSD141.9A</v>
          </cell>
        </row>
        <row r="142">
          <cell r="C142" t="str">
            <v>VAI60.25-22/GSD141.9A</v>
          </cell>
        </row>
        <row r="143">
          <cell r="C143" t="str">
            <v>VAI60.32-35/GLB141.9E</v>
          </cell>
        </row>
        <row r="144">
          <cell r="C144" t="str">
            <v>VAI60.40-68/GLB141.9E</v>
          </cell>
        </row>
        <row r="145">
          <cell r="C145" t="str">
            <v>VAI60.50-96/GLB141.9E</v>
          </cell>
        </row>
        <row r="146">
          <cell r="C146" t="str">
            <v>-----Kogelkranen 2-weg | O/D | met eindcontact-----</v>
          </cell>
        </row>
        <row r="147">
          <cell r="C147" t="str">
            <v>VAI60.15-15/GLB146.1E/ASK77.3</v>
          </cell>
        </row>
        <row r="148">
          <cell r="C148" t="str">
            <v>VAI60.20-22/GLB146.1E/ASK77.3</v>
          </cell>
        </row>
        <row r="149">
          <cell r="C149" t="str">
            <v>VAI60.25-22/GLB146.1E/ASK77.3</v>
          </cell>
        </row>
        <row r="150">
          <cell r="C150" t="str">
            <v>VAI60.32-35/GLB146.1E/ASK77.3</v>
          </cell>
        </row>
        <row r="151">
          <cell r="C151" t="str">
            <v>VAI60.40-68/GLB146.1E/ASK77.3</v>
          </cell>
        </row>
        <row r="152">
          <cell r="C152" t="str">
            <v>VAI60.50-96/GLB146.1E/ASK77.3</v>
          </cell>
        </row>
        <row r="153">
          <cell r="C153" t="str">
            <v>-----Vlinderklep 2-weg | O/D | 100% sluitend-----</v>
          </cell>
        </row>
        <row r="154">
          <cell r="C154" t="str">
            <v>SAL81.00T20/ASC10.51/VFW41.40</v>
          </cell>
        </row>
        <row r="155">
          <cell r="C155" t="str">
            <v>SAL81.00T20/ASC10.51/VFW41.50</v>
          </cell>
        </row>
        <row r="156">
          <cell r="C156" t="str">
            <v>SAL81.00T20/ASC10.51/VFW41.65</v>
          </cell>
        </row>
        <row r="157">
          <cell r="C157" t="str">
            <v>SAL81.00T40/ASC10.51/VFW41.80</v>
          </cell>
        </row>
        <row r="158">
          <cell r="C158" t="str">
            <v>SAL81.00T40/ASC10.51/VFW41.100</v>
          </cell>
        </row>
        <row r="159">
          <cell r="C159" t="str">
            <v>SAL81.00T40/ASC10.51/VFW41.125</v>
          </cell>
        </row>
        <row r="160">
          <cell r="C160" t="str">
            <v>SQL341E100/VFW41.150</v>
          </cell>
        </row>
        <row r="161">
          <cell r="C161" t="str">
            <v>SQL341E100/VFW41.200</v>
          </cell>
        </row>
        <row r="162">
          <cell r="C162" t="str">
            <v>-----2-weg geschroefd | 0-10V | PN16-----</v>
          </cell>
        </row>
        <row r="163">
          <cell r="C163" t="str">
            <v>SAS61.03/ALG152/VVG44.15-0.63</v>
          </cell>
        </row>
        <row r="164">
          <cell r="C164" t="str">
            <v>SAS61.03/ALG152/VVG44.15-1</v>
          </cell>
        </row>
        <row r="165">
          <cell r="C165" t="str">
            <v>SAS61.03/ALG152/VVG44.15-1.6</v>
          </cell>
        </row>
        <row r="166">
          <cell r="C166" t="str">
            <v>SAS61.03/ALG152/VVG44.15-2.5</v>
          </cell>
        </row>
        <row r="167">
          <cell r="C167" t="str">
            <v>SAS61.03/ALG152/VVG44.15-4</v>
          </cell>
        </row>
        <row r="168">
          <cell r="C168" t="str">
            <v>SAS61.03/ALG202/VVG44.20-6.3</v>
          </cell>
        </row>
        <row r="169">
          <cell r="C169" t="str">
            <v>SAS61.03/ALG252/VVG44.25-10</v>
          </cell>
        </row>
        <row r="170">
          <cell r="C170" t="str">
            <v>SAS61.03/ALG322/VVG44.32-16</v>
          </cell>
        </row>
        <row r="171">
          <cell r="C171" t="str">
            <v>SAS61.03/ALG402/VVG44.40-25</v>
          </cell>
        </row>
        <row r="172">
          <cell r="C172" t="str">
            <v>--------2-weg geschroefd | 0-10V | PN16 | Klein--------</v>
          </cell>
        </row>
        <row r="173">
          <cell r="C173" t="str">
            <v>SSB161/ALG132/VVP45.10-0.25</v>
          </cell>
        </row>
        <row r="174">
          <cell r="C174" t="str">
            <v>SSB161/ALG132/VVP45.10-0.4</v>
          </cell>
        </row>
        <row r="175">
          <cell r="C175" t="str">
            <v>SSB161/ALG132/VVP45.10-0.63</v>
          </cell>
        </row>
        <row r="176">
          <cell r="C176" t="str">
            <v>SSB161/ALG132/VVP45.10-1</v>
          </cell>
        </row>
        <row r="177">
          <cell r="C177" t="str">
            <v>SSB161/ALG132/VVP45.10-1.6</v>
          </cell>
        </row>
        <row r="178">
          <cell r="C178" t="str">
            <v>SSB161/ALG142/VVP45.15-2.5</v>
          </cell>
        </row>
        <row r="179">
          <cell r="C179" t="str">
            <v>SSB161/ALG152/VVP45.20-4</v>
          </cell>
        </row>
        <row r="180">
          <cell r="C180" t="str">
            <v>SSC161/ALG202/VVP45.25-6.3</v>
          </cell>
        </row>
        <row r="181">
          <cell r="C181" t="str">
            <v>SSC161/ALG252/VVP45.25-10</v>
          </cell>
        </row>
        <row r="182">
          <cell r="C182" t="str">
            <v>SSC161/ALG322/VVP45.32-16</v>
          </cell>
        </row>
        <row r="183">
          <cell r="C183" t="str">
            <v>SSC161/ALG402/VVP45.40-25</v>
          </cell>
        </row>
        <row r="184">
          <cell r="C184" t="str">
            <v>-----2-weg geflensd | 0-10V | PN6-----</v>
          </cell>
        </row>
        <row r="185">
          <cell r="C185" t="str">
            <v>SAX61.03/VVF22.25-2.5</v>
          </cell>
        </row>
        <row r="186">
          <cell r="C186" t="str">
            <v>SAX61.03/VVF22.25-4</v>
          </cell>
        </row>
        <row r="187">
          <cell r="C187" t="str">
            <v>SAX61.03/VVF22.25-6.3</v>
          </cell>
        </row>
        <row r="188">
          <cell r="C188" t="str">
            <v>SAX61.03/VVF22.25-10</v>
          </cell>
        </row>
        <row r="189">
          <cell r="C189" t="str">
            <v>SAX61.03/VVF22.40-16</v>
          </cell>
        </row>
        <row r="190">
          <cell r="C190" t="str">
            <v>SAX61.03/VVF22.40-25</v>
          </cell>
        </row>
        <row r="191">
          <cell r="C191" t="str">
            <v>SAX61.03/VVF22.50-40</v>
          </cell>
        </row>
        <row r="192">
          <cell r="C192" t="str">
            <v>SAX61.03/VVF22.65-63</v>
          </cell>
        </row>
        <row r="193">
          <cell r="C193" t="str">
            <v>SAV61.00/VVF22.80-100</v>
          </cell>
        </row>
        <row r="194">
          <cell r="C194" t="str">
            <v>SAV61.00/VVF22.100-160</v>
          </cell>
        </row>
        <row r="195">
          <cell r="C195" t="str">
            <v>-----2-weg geflensd | 0-10V | PN16-----</v>
          </cell>
        </row>
        <row r="196">
          <cell r="C196" t="str">
            <v>SAX61.03/VVF42.15-2.5</v>
          </cell>
        </row>
        <row r="197">
          <cell r="C197" t="str">
            <v>SAX61.03/VVF42.15-4</v>
          </cell>
        </row>
        <row r="198">
          <cell r="C198" t="str">
            <v>SAX61.03/VVF42.25-6.3</v>
          </cell>
        </row>
        <row r="199">
          <cell r="C199" t="str">
            <v>SAX61.03/VVF42.25-10</v>
          </cell>
        </row>
        <row r="200">
          <cell r="C200" t="str">
            <v>SAX61.03/VVF42.32-16</v>
          </cell>
        </row>
        <row r="201">
          <cell r="C201" t="str">
            <v>SAX61.03/VVF42.40-25</v>
          </cell>
        </row>
        <row r="202">
          <cell r="C202" t="str">
            <v>SAX61.03/VVF42.50-40</v>
          </cell>
        </row>
        <row r="203">
          <cell r="C203" t="str">
            <v>SAV61.00/VVF42.65-63</v>
          </cell>
        </row>
        <row r="204">
          <cell r="C204" t="str">
            <v>SAV61.00/VVF42.80-100</v>
          </cell>
        </row>
        <row r="205">
          <cell r="C205" t="str">
            <v>SAV61.00/VVF42.100-160</v>
          </cell>
        </row>
        <row r="206">
          <cell r="C206" t="str">
            <v>SAV61.00/VVF42.125-250</v>
          </cell>
        </row>
        <row r="207">
          <cell r="C207" t="str">
            <v>SAV61.00/VVF42.150-315</v>
          </cell>
        </row>
        <row r="208">
          <cell r="C208" t="str">
            <v>-----2-weg geschroefd | 0-10V | drukgecomp. | PN25-----</v>
          </cell>
        </row>
        <row r="209">
          <cell r="C209" t="str">
            <v>SSA161.05/VPP46.15L0.2Q/ALG142</v>
          </cell>
        </row>
        <row r="210">
          <cell r="C210" t="str">
            <v>SSA161.05/VPP46.15L0.6Q/ALG142</v>
          </cell>
        </row>
        <row r="211">
          <cell r="C211" t="str">
            <v>SSA161.05/VPP46.20F1.4Q/ALG152</v>
          </cell>
        </row>
        <row r="212">
          <cell r="C212" t="str">
            <v>SSA161.05/VPP46.25F1.8Q/ALG202</v>
          </cell>
        </row>
        <row r="213">
          <cell r="C213" t="str">
            <v>SSA161.05/VPP46.32F4Q/ALG252</v>
          </cell>
        </row>
        <row r="214">
          <cell r="C214" t="str">
            <v>-----2-weg geflensd | 0-10V | drukgecomp. | PN25-----</v>
          </cell>
        </row>
        <row r="215">
          <cell r="C215" t="str">
            <v>SAX61P03/VPF44.50F15</v>
          </cell>
        </row>
        <row r="216">
          <cell r="C216" t="str">
            <v>SAX61P03/VPF44.50F25</v>
          </cell>
        </row>
        <row r="217">
          <cell r="C217" t="str">
            <v>SAX61P03/VPF44.65F25</v>
          </cell>
        </row>
        <row r="218">
          <cell r="C218" t="str">
            <v>SAX61P03/VPF44.65F35</v>
          </cell>
        </row>
        <row r="219">
          <cell r="C219" t="str">
            <v>SAX61P03/VPF44.80F35</v>
          </cell>
        </row>
        <row r="220">
          <cell r="C220" t="str">
            <v>SAX61P03/VPF44.80F45</v>
          </cell>
        </row>
        <row r="221">
          <cell r="C221" t="str">
            <v>SAX61P03/VPF44.100F70</v>
          </cell>
        </row>
        <row r="222">
          <cell r="C222" t="str">
            <v>SAX61P03/VPF44.100F90</v>
          </cell>
        </row>
        <row r="223">
          <cell r="C223" t="str">
            <v>SAX61P03/VPF44.125F110</v>
          </cell>
        </row>
        <row r="224">
          <cell r="C224" t="str">
            <v>SAX61P03/VPF44.125F135</v>
          </cell>
        </row>
        <row r="225">
          <cell r="C225" t="str">
            <v>-----2-weg geschroefd | drukgecomp. | 0-10V | Intelligent valves BACnet -----</v>
          </cell>
        </row>
        <row r="226">
          <cell r="C226" t="str">
            <v>EVG4U10A015</v>
          </cell>
        </row>
        <row r="227">
          <cell r="C227" t="str">
            <v>EVG4U10A020</v>
          </cell>
        </row>
        <row r="228">
          <cell r="C228" t="str">
            <v>EVG4U10A025</v>
          </cell>
        </row>
        <row r="229">
          <cell r="C229" t="str">
            <v>EVG4U10A032</v>
          </cell>
        </row>
        <row r="230">
          <cell r="C230" t="str">
            <v>EVG4U10A040</v>
          </cell>
        </row>
        <row r="231">
          <cell r="C231" t="str">
            <v>EVG4U10A050</v>
          </cell>
        </row>
        <row r="232">
          <cell r="C232" t="str">
            <v>-----2-weg geflenst | drukgecomp. | 0-10V | Intelligent valves BACnet-----</v>
          </cell>
        </row>
        <row r="233">
          <cell r="C233" t="str">
            <v>EVF4U20A065</v>
          </cell>
        </row>
        <row r="234">
          <cell r="C234" t="str">
            <v>EVF4U20A080</v>
          </cell>
        </row>
        <row r="235">
          <cell r="C235" t="str">
            <v>EVF4U20A100</v>
          </cell>
        </row>
        <row r="236">
          <cell r="C236" t="str">
            <v>EVF4U20A125</v>
          </cell>
        </row>
        <row r="237">
          <cell r="C237" t="str">
            <v>-----3-weg geschroefd | 0-10V | PN16-----</v>
          </cell>
        </row>
        <row r="238">
          <cell r="C238" t="str">
            <v>SAS61.03/ALG153/VXG44.15-0.63</v>
          </cell>
        </row>
        <row r="239">
          <cell r="C239" t="str">
            <v>SAS61.03/ALG153/VXG44.15-1</v>
          </cell>
        </row>
        <row r="240">
          <cell r="C240" t="str">
            <v>SAS61.03/ALG153/VXG44.15-1.6</v>
          </cell>
        </row>
        <row r="241">
          <cell r="C241" t="str">
            <v>SAS61.03/ALG153/VXG44.15-2.5</v>
          </cell>
        </row>
        <row r="242">
          <cell r="C242" t="str">
            <v>SAS61.03/ALG153/VXG44.15-4</v>
          </cell>
        </row>
        <row r="243">
          <cell r="C243" t="str">
            <v>SAS61.03/ALG203/VXG44.20-6.3</v>
          </cell>
        </row>
        <row r="244">
          <cell r="C244" t="str">
            <v>SAS61.03/ALG253/VXG44.25-10</v>
          </cell>
        </row>
        <row r="245">
          <cell r="C245" t="str">
            <v>SAS61.03/ALG323/VXG44.32-16</v>
          </cell>
        </row>
        <row r="246">
          <cell r="C246" t="str">
            <v>SAS61.03/ALG403/VXG44.40-25</v>
          </cell>
        </row>
        <row r="247">
          <cell r="C247" t="str">
            <v>-----3-weg geschroefd | 0-10V | PN16 | Klein (VXP)-----</v>
          </cell>
        </row>
        <row r="248">
          <cell r="C248" t="str">
            <v>SSB161/ALG133/VXP45.10-0.25</v>
          </cell>
        </row>
        <row r="249">
          <cell r="C249" t="str">
            <v>SSB161/ALG133/VXP45.10-0.4</v>
          </cell>
        </row>
        <row r="250">
          <cell r="C250" t="str">
            <v>SSB161/ALG133/VXP45.10-0.63</v>
          </cell>
        </row>
        <row r="251">
          <cell r="C251" t="str">
            <v>SSB161/ALG133/VXP45.10-1</v>
          </cell>
        </row>
        <row r="252">
          <cell r="C252" t="str">
            <v>SSB161/ALG133/VXP45.10-1.6</v>
          </cell>
        </row>
        <row r="253">
          <cell r="C253" t="str">
            <v>SSB161/ALG143/VXP45.15-2.5</v>
          </cell>
        </row>
        <row r="254">
          <cell r="C254" t="str">
            <v>SSB161/ALG153/VXP45.20-4</v>
          </cell>
        </row>
        <row r="255">
          <cell r="C255" t="str">
            <v>SSC161/ALG203/VXP45.25-6.3</v>
          </cell>
        </row>
        <row r="256">
          <cell r="C256" t="str">
            <v>SSC161/ALG253/VXP45.25-10</v>
          </cell>
        </row>
        <row r="257">
          <cell r="C257" t="str">
            <v>SSC161/ALG323/VXP45.32-16</v>
          </cell>
        </row>
        <row r="258">
          <cell r="C258" t="str">
            <v>SSC161/ALG403/VXP45.40-25</v>
          </cell>
        </row>
        <row r="259">
          <cell r="C259" t="str">
            <v>-----3-weg geflensd | 0-10V | PN6-----</v>
          </cell>
        </row>
        <row r="260">
          <cell r="C260" t="str">
            <v>SAX61.03/VXF22.25-2.5</v>
          </cell>
        </row>
        <row r="261">
          <cell r="C261" t="str">
            <v>SAX61.03/VXF22.25-4</v>
          </cell>
        </row>
        <row r="262">
          <cell r="C262" t="str">
            <v>SAX61.03/VXF22.25-6.3</v>
          </cell>
        </row>
        <row r="263">
          <cell r="C263" t="str">
            <v>SAX61.03/VXF22.25-10</v>
          </cell>
        </row>
        <row r="264">
          <cell r="C264" t="str">
            <v>SAX61.03/VXF22.40-16</v>
          </cell>
        </row>
        <row r="265">
          <cell r="C265" t="str">
            <v>SAX61.03/VXF22.40-25</v>
          </cell>
        </row>
        <row r="266">
          <cell r="C266" t="str">
            <v>SAX61.03/VXF22.50-40</v>
          </cell>
        </row>
        <row r="267">
          <cell r="C267" t="str">
            <v>SAX61.03/VXF22.65-63</v>
          </cell>
        </row>
        <row r="268">
          <cell r="C268" t="str">
            <v>SAV61.00/VXF22.80-100</v>
          </cell>
        </row>
        <row r="269">
          <cell r="C269" t="str">
            <v>SAV61.00/VXF22.100-160</v>
          </cell>
        </row>
        <row r="270">
          <cell r="C270" t="str">
            <v>-----3-weg geflensd | 0-10V | PN16-----</v>
          </cell>
        </row>
        <row r="271">
          <cell r="C271" t="str">
            <v>SAX61.03/VXF42.15-2.5</v>
          </cell>
        </row>
        <row r="272">
          <cell r="C272" t="str">
            <v>SAX61.03/VXF42.15-4</v>
          </cell>
        </row>
        <row r="273">
          <cell r="C273" t="str">
            <v>SAX61.03/VXF42.25-6.3</v>
          </cell>
        </row>
        <row r="274">
          <cell r="C274" t="str">
            <v>SAX61.03/VXF42.25-10</v>
          </cell>
        </row>
        <row r="275">
          <cell r="C275" t="str">
            <v>SAX61.03/VXF42.40-16</v>
          </cell>
        </row>
        <row r="276">
          <cell r="C276" t="str">
            <v>SAX61.03/VXF42.40-25</v>
          </cell>
        </row>
        <row r="277">
          <cell r="C277" t="str">
            <v>SAX61.03/VXF42.50-40</v>
          </cell>
        </row>
        <row r="278">
          <cell r="C278" t="str">
            <v>SAV61.00/VXF42.65-63</v>
          </cell>
        </row>
        <row r="279">
          <cell r="C279" t="str">
            <v>SAV61.00/VXF42.80-100</v>
          </cell>
        </row>
        <row r="280">
          <cell r="C280" t="str">
            <v>SAV61.00/VXF42.100-160</v>
          </cell>
        </row>
        <row r="281">
          <cell r="C281" t="str">
            <v>SAV61.00/VXF42.125-250</v>
          </cell>
        </row>
        <row r="282">
          <cell r="C282" t="str">
            <v>SAV61.00/VXF42.150-315</v>
          </cell>
        </row>
        <row r="283">
          <cell r="C283" t="str">
            <v>-----3-weg geschroefd | 0-10V | PN16 | Magnetic-----</v>
          </cell>
        </row>
        <row r="284">
          <cell r="C284" t="str">
            <v>MXG461.15-0.6/ALG153</v>
          </cell>
        </row>
        <row r="285">
          <cell r="C285" t="str">
            <v>MXG461.15-1.5/ALG153</v>
          </cell>
        </row>
        <row r="286">
          <cell r="C286" t="str">
            <v>MXG461.15-3.0/ALG153</v>
          </cell>
        </row>
        <row r="287">
          <cell r="C287" t="str">
            <v>MXG461.20-5.0/ALG203</v>
          </cell>
        </row>
        <row r="288">
          <cell r="C288" t="str">
            <v>MXG461.25-8.0/ALG253</v>
          </cell>
        </row>
        <row r="289">
          <cell r="C289" t="str">
            <v>MXG461.32-12/ALG323</v>
          </cell>
        </row>
        <row r="290">
          <cell r="C290" t="str">
            <v>MXG461.40-20/ALG403</v>
          </cell>
        </row>
        <row r="291">
          <cell r="C291" t="str">
            <v>-----3-weg geflensd | 0-10V | PN16 | Magnetic-----</v>
          </cell>
        </row>
        <row r="292">
          <cell r="C292" t="str">
            <v>MXF461.15-0.6</v>
          </cell>
        </row>
        <row r="293">
          <cell r="C293" t="str">
            <v>MXF461.15-1.5</v>
          </cell>
        </row>
        <row r="294">
          <cell r="C294" t="str">
            <v>MXF461.15-3.0</v>
          </cell>
        </row>
        <row r="295">
          <cell r="C295" t="str">
            <v>MXF461.20-5.0</v>
          </cell>
        </row>
        <row r="296">
          <cell r="C296" t="str">
            <v>MXF461.25-8.0</v>
          </cell>
        </row>
        <row r="297">
          <cell r="C297" t="str">
            <v>MXF461.32-12</v>
          </cell>
        </row>
        <row r="298">
          <cell r="C298" t="str">
            <v>MXF461.40-20</v>
          </cell>
        </row>
        <row r="299">
          <cell r="C299" t="str">
            <v>MXF461.50-30</v>
          </cell>
        </row>
        <row r="300">
          <cell r="C300" t="str">
            <v>MXF461.65-50</v>
          </cell>
        </row>
        <row r="301">
          <cell r="C301" t="str">
            <v>M3P80FY</v>
          </cell>
        </row>
        <row r="302">
          <cell r="C302" t="str">
            <v>M3P100FY</v>
          </cell>
        </row>
        <row r="303">
          <cell r="C303" t="str">
            <v>-----Blindflens - t.b.v. tweeweg uitvoering MXG/MXF-afsluiters-----</v>
          </cell>
        </row>
        <row r="304">
          <cell r="C304" t="str">
            <v>Wordt bij afsluiter geleverd</v>
          </cell>
        </row>
        <row r="305">
          <cell r="C305" t="str">
            <v>Z155/15F</v>
          </cell>
        </row>
        <row r="306">
          <cell r="C306" t="str">
            <v>Z155/20F</v>
          </cell>
        </row>
        <row r="307">
          <cell r="C307" t="str">
            <v>Z155/25F</v>
          </cell>
        </row>
        <row r="308">
          <cell r="C308" t="str">
            <v>Z155/32F</v>
          </cell>
        </row>
        <row r="309">
          <cell r="C309" t="str">
            <v>Z155/40</v>
          </cell>
        </row>
        <row r="310">
          <cell r="C310" t="str">
            <v>Z155/50</v>
          </cell>
        </row>
        <row r="311">
          <cell r="C311" t="str">
            <v>Z155/65</v>
          </cell>
        </row>
        <row r="312">
          <cell r="C312" t="str">
            <v>Z155/80</v>
          </cell>
        </row>
        <row r="313">
          <cell r="C313" t="str">
            <v>Z155/100</v>
          </cell>
        </row>
        <row r="315">
          <cell r="C315" t="str">
            <v>..</v>
          </cell>
        </row>
        <row r="316">
          <cell r="C316" t="str">
            <v>..</v>
          </cell>
        </row>
        <row r="317">
          <cell r="C317" t="str">
            <v>..</v>
          </cell>
        </row>
        <row r="318">
          <cell r="C318" t="str">
            <v>..</v>
          </cell>
        </row>
        <row r="319">
          <cell r="C319" t="str">
            <v>..</v>
          </cell>
        </row>
        <row r="320">
          <cell r="C320" t="str">
            <v>..</v>
          </cell>
        </row>
        <row r="321">
          <cell r="C321" t="str">
            <v>..</v>
          </cell>
        </row>
        <row r="322">
          <cell r="C322" t="str">
            <v>..</v>
          </cell>
        </row>
        <row r="323">
          <cell r="C323" t="str">
            <v>..</v>
          </cell>
        </row>
        <row r="324">
          <cell r="C324" t="str">
            <v>..</v>
          </cell>
        </row>
        <row r="331">
          <cell r="C331" t="str">
            <v>4.9110.00.061 Clima Sensor 2000 (zonder mast)</v>
          </cell>
        </row>
        <row r="332">
          <cell r="C332" t="str">
            <v>Clima Sensor Connection box</v>
          </cell>
        </row>
        <row r="333">
          <cell r="C333" t="str">
            <v>WSC11 (zonder mast)</v>
          </cell>
        </row>
        <row r="334">
          <cell r="C334" t="str">
            <v>CON-000210</v>
          </cell>
        </row>
        <row r="335">
          <cell r="C335" t="str">
            <v>Weermast tegelstatief</v>
          </cell>
        </row>
        <row r="337">
          <cell r="C337" t="str">
            <v>MR-DI10</v>
          </cell>
        </row>
        <row r="338">
          <cell r="C338" t="str">
            <v>MR-AI8</v>
          </cell>
        </row>
        <row r="339">
          <cell r="C339" t="str">
            <v>MR-DIO4/2</v>
          </cell>
        </row>
        <row r="340">
          <cell r="C340" t="str">
            <v>MR-DI4</v>
          </cell>
        </row>
        <row r="341">
          <cell r="C341" t="str">
            <v>MR-AO4</v>
          </cell>
        </row>
        <row r="342">
          <cell r="C342" t="str">
            <v>MR-DO4</v>
          </cell>
        </row>
        <row r="343">
          <cell r="C343" t="str">
            <v>MR-TP</v>
          </cell>
        </row>
        <row r="344">
          <cell r="C344" t="str">
            <v>NG4</v>
          </cell>
        </row>
        <row r="346">
          <cell r="C346" t="str">
            <v>--------Opnemer met display--------</v>
          </cell>
        </row>
        <row r="347">
          <cell r="C347" t="str">
            <v>KFTF-U</v>
          </cell>
        </row>
        <row r="348">
          <cell r="C348" t="str">
            <v>7111-U</v>
          </cell>
        </row>
        <row r="349">
          <cell r="C349" t="str">
            <v>--------Rookmelder--------</v>
          </cell>
        </row>
        <row r="350">
          <cell r="C350" t="str">
            <v>UG-3-A4O/VR-0,6M</v>
          </cell>
        </row>
        <row r="351">
          <cell r="C351" t="str">
            <v>--------Wateroverlast--------</v>
          </cell>
        </row>
        <row r="352">
          <cell r="C352" t="str">
            <v>Cavia detector</v>
          </cell>
        </row>
        <row r="353">
          <cell r="C353" t="str">
            <v>Cavia versterker</v>
          </cell>
        </row>
        <row r="354">
          <cell r="C354" t="str">
            <v>Jola-SPS4</v>
          </cell>
        </row>
        <row r="355">
          <cell r="C355" t="str">
            <v>Timeline EL402 opbouw</v>
          </cell>
        </row>
        <row r="356">
          <cell r="C356" t="str">
            <v>Timeline EL402 inbouw</v>
          </cell>
        </row>
        <row r="357">
          <cell r="C357" t="str">
            <v>--------Overig--------</v>
          </cell>
        </row>
        <row r="358">
          <cell r="C358" t="str">
            <v>RMCL55BD 0-10V-0-20mA</v>
          </cell>
        </row>
        <row r="362">
          <cell r="C362" t="str">
            <v>..</v>
          </cell>
        </row>
        <row r="363">
          <cell r="C363" t="str">
            <v>..</v>
          </cell>
        </row>
        <row r="364">
          <cell r="C364" t="str">
            <v>..</v>
          </cell>
        </row>
        <row r="365">
          <cell r="C365" t="str">
            <v>..</v>
          </cell>
        </row>
        <row r="366">
          <cell r="C366" t="str">
            <v>..</v>
          </cell>
        </row>
        <row r="367">
          <cell r="C367" t="str">
            <v>..</v>
          </cell>
        </row>
        <row r="368">
          <cell r="C368" t="str">
            <v>..</v>
          </cell>
        </row>
        <row r="369">
          <cell r="C369" t="str">
            <v>..</v>
          </cell>
        </row>
        <row r="370">
          <cell r="C370" t="str">
            <v>..</v>
          </cell>
        </row>
        <row r="371">
          <cell r="C371" t="str">
            <v>..</v>
          </cell>
        </row>
        <row r="372">
          <cell r="C372" t="str">
            <v>..</v>
          </cell>
        </row>
        <row r="373">
          <cell r="C373" t="str">
            <v>..</v>
          </cell>
        </row>
        <row r="374">
          <cell r="C374" t="str">
            <v>..</v>
          </cell>
        </row>
        <row r="375">
          <cell r="C375" t="str">
            <v>..</v>
          </cell>
        </row>
        <row r="376">
          <cell r="C376" t="str">
            <v>..</v>
          </cell>
        </row>
        <row r="377">
          <cell r="C377" t="str">
            <v>..</v>
          </cell>
        </row>
        <row r="378">
          <cell r="C378" t="str">
            <v>..</v>
          </cell>
        </row>
        <row r="379">
          <cell r="C379" t="str">
            <v>..</v>
          </cell>
        </row>
        <row r="385">
          <cell r="C385" t="str">
            <v>UH50-A05-00</v>
          </cell>
        </row>
        <row r="386">
          <cell r="C386" t="str">
            <v>UH50-A21-00</v>
          </cell>
        </row>
        <row r="387">
          <cell r="C387" t="str">
            <v>UH50-A23-00</v>
          </cell>
        </row>
        <row r="388">
          <cell r="C388" t="str">
            <v>UH50-A36-00</v>
          </cell>
        </row>
        <row r="389">
          <cell r="C389" t="str">
            <v>UH50-A45-00</v>
          </cell>
        </row>
        <row r="390">
          <cell r="C390" t="str">
            <v>UH50-A50-00</v>
          </cell>
        </row>
        <row r="391">
          <cell r="C391" t="str">
            <v>UH50-A61-00</v>
          </cell>
        </row>
        <row r="392">
          <cell r="C392" t="str">
            <v>UH50-A65-00</v>
          </cell>
        </row>
        <row r="393">
          <cell r="C393" t="str">
            <v>UH50-A70-00</v>
          </cell>
        </row>
        <row r="394">
          <cell r="C394" t="str">
            <v>UH50-A74-00</v>
          </cell>
        </row>
        <row r="395">
          <cell r="C395" t="str">
            <v>UH50-A83-00</v>
          </cell>
        </row>
        <row r="397">
          <cell r="C397" t="str">
            <v>UH50-C05-00</v>
          </cell>
        </row>
        <row r="398">
          <cell r="C398" t="str">
            <v>UH50-C21-00</v>
          </cell>
        </row>
        <row r="399">
          <cell r="C399" t="str">
            <v>UH50-C25-00</v>
          </cell>
        </row>
        <row r="400">
          <cell r="C400" t="str">
            <v>UH50-C36-00</v>
          </cell>
        </row>
        <row r="401">
          <cell r="C401" t="str">
            <v>UH50-C45-00</v>
          </cell>
        </row>
        <row r="402">
          <cell r="C402" t="str">
            <v>UH50-C50-00</v>
          </cell>
        </row>
        <row r="403">
          <cell r="C403" t="str">
            <v>UH50-C60-00</v>
          </cell>
        </row>
        <row r="404">
          <cell r="C404" t="str">
            <v>UH50-C61-00</v>
          </cell>
        </row>
        <row r="405">
          <cell r="C405" t="str">
            <v>UH50-C65-00</v>
          </cell>
        </row>
        <row r="406">
          <cell r="C406" t="str">
            <v>UH50-C70-00</v>
          </cell>
        </row>
        <row r="407">
          <cell r="C407" t="str">
            <v>UH50-C74-00</v>
          </cell>
        </row>
        <row r="408">
          <cell r="C408" t="str">
            <v>UH50-C83-00</v>
          </cell>
        </row>
        <row r="417">
          <cell r="C417" t="str">
            <v>WFW30.D110</v>
          </cell>
        </row>
        <row r="418">
          <cell r="C418" t="str">
            <v>WFW30.E130</v>
          </cell>
        </row>
        <row r="419">
          <cell r="C419" t="str">
            <v>WFK30.D110</v>
          </cell>
        </row>
        <row r="420">
          <cell r="C420" t="str">
            <v>WFK30.E130</v>
          </cell>
        </row>
      </sheetData>
      <sheetData sheetId="21">
        <row r="7">
          <cell r="C7" t="str">
            <v>-----Diverse opnemers (TT en CO2)-----</v>
          </cell>
        </row>
        <row r="8">
          <cell r="C8" t="str">
            <v>QPA1064</v>
          </cell>
        </row>
        <row r="9">
          <cell r="C9" t="str">
            <v>QPA1004</v>
          </cell>
        </row>
        <row r="10">
          <cell r="C10" t="str">
            <v>QAA64</v>
          </cell>
        </row>
        <row r="11">
          <cell r="C11" t="str">
            <v>QPA2360</v>
          </cell>
        </row>
        <row r="12">
          <cell r="C12" t="str">
            <v>QAA2120</v>
          </cell>
        </row>
        <row r="13">
          <cell r="C13" t="str">
            <v>QAA27</v>
          </cell>
        </row>
        <row r="14">
          <cell r="C14" t="str">
            <v>QAM2120.040</v>
          </cell>
        </row>
        <row r="15">
          <cell r="C15" t="str">
            <v>RAK-TW.1000HB</v>
          </cell>
        </row>
        <row r="16">
          <cell r="C16" t="str">
            <v>Beschermkorf QAA..</v>
          </cell>
        </row>
        <row r="17">
          <cell r="C17" t="str">
            <v>QAP21.3/8000</v>
          </cell>
        </row>
        <row r="18">
          <cell r="C18" t="str">
            <v>-----2-weg naregelafsluiters | PDM-----</v>
          </cell>
        </row>
        <row r="19">
          <cell r="C19" t="str">
            <v>VD115CLC/STA121.65L10</v>
          </cell>
        </row>
        <row r="20">
          <cell r="C20" t="str">
            <v>VD120CLC/STA121.65L10</v>
          </cell>
        </row>
        <row r="21">
          <cell r="C21" t="str">
            <v>-----2-weg naregelafsluiters | 0-10V -----</v>
          </cell>
        </row>
        <row r="22">
          <cell r="C22" t="str">
            <v>VD115CLC/STA161.65L10</v>
          </cell>
        </row>
        <row r="23">
          <cell r="C23" t="str">
            <v>VD120CLC/STA161.65L10</v>
          </cell>
        </row>
        <row r="24">
          <cell r="C24" t="str">
            <v>VD115CLC/SSA161.05</v>
          </cell>
        </row>
        <row r="25">
          <cell r="C25" t="str">
            <v>VD120CLC/SSA161.05</v>
          </cell>
        </row>
        <row r="26">
          <cell r="C26" t="str">
            <v>-----2-weg naregelafsluiters | 0-10V | drukgecomp., met meetnippels-----</v>
          </cell>
        </row>
        <row r="27">
          <cell r="C27" t="str">
            <v>VPI46.15L0.2Q/STA161.65L10</v>
          </cell>
        </row>
        <row r="28">
          <cell r="C28" t="str">
            <v>VPI46.20F1.4Q/STA161.65L10</v>
          </cell>
        </row>
        <row r="29">
          <cell r="C29" t="str">
            <v>VPI46.25F1.8Q/STA161.65L10</v>
          </cell>
        </row>
        <row r="30">
          <cell r="C30" t="str">
            <v>VPI46.32F4Q/STA161.65L10</v>
          </cell>
        </row>
        <row r="31">
          <cell r="C31" t="str">
            <v>VPI46.15L0.2Q/SSA161.05</v>
          </cell>
        </row>
        <row r="32">
          <cell r="C32" t="str">
            <v>VPI46.20F1.4Q/SSA161.05</v>
          </cell>
        </row>
        <row r="33">
          <cell r="C33" t="str">
            <v>VPI46.25F1.8Q/SSA161.05</v>
          </cell>
        </row>
        <row r="34">
          <cell r="C34" t="str">
            <v>VPI46.32F4Q/SSA161.05</v>
          </cell>
        </row>
        <row r="35">
          <cell r="C35" t="str">
            <v>-----2-weg naregelafsluiters | PDM | drukgecomp., met meetnippels-----</v>
          </cell>
        </row>
        <row r="36">
          <cell r="C36" t="str">
            <v>STA121.65L10/VQI46.15L0.5Q</v>
          </cell>
        </row>
        <row r="37">
          <cell r="C37" t="str">
            <v>STA121.65L10/VQI46.15F1.3Q</v>
          </cell>
        </row>
        <row r="38">
          <cell r="C38" t="str">
            <v>STA121.65L10/VQI46.20F1.5Q</v>
          </cell>
        </row>
        <row r="39">
          <cell r="C39" t="str">
            <v>STA121.65L10/VQI46.25F1.8Q</v>
          </cell>
        </row>
        <row r="40">
          <cell r="C40" t="str">
            <v>-----6-weg naregelafsluiters | 0-10V-----</v>
          </cell>
        </row>
        <row r="41">
          <cell r="C41" t="str">
            <v>VWG41.10/GSD161.9A/ALG13.156B</v>
          </cell>
        </row>
        <row r="42">
          <cell r="C42" t="str">
            <v>VWG41.20/GDB161.9E/ALG15.156B</v>
          </cell>
        </row>
        <row r="43">
          <cell r="C43" t="str">
            <v>VWG41.20/GDB161.9E/ALG15.206B</v>
          </cell>
        </row>
        <row r="44">
          <cell r="C44" t="str">
            <v>VWG41.20/GDB161.9E/ALG15.256B</v>
          </cell>
        </row>
        <row r="45">
          <cell r="C45" t="str">
            <v>-----6-weg naregelafsluiters | Change-over-----</v>
          </cell>
        </row>
        <row r="46">
          <cell r="C46" t="str">
            <v>VWG41.10/GDB141.9E/ALG13.156B</v>
          </cell>
        </row>
        <row r="47">
          <cell r="C47" t="str">
            <v>VWG41.20/GDB141.9E/ALG15.156B</v>
          </cell>
        </row>
        <row r="48">
          <cell r="C48" t="str">
            <v>VWG41.20/GDB141.9E/ALG15.206B</v>
          </cell>
        </row>
        <row r="49">
          <cell r="C49" t="str">
            <v>VWG41.20/GDB141.9E/ALG15.256B</v>
          </cell>
        </row>
        <row r="50">
          <cell r="C50" t="str">
            <v>-----6-weg naregelafsluiters | 0-10V | drukgecomp.-----</v>
          </cell>
        </row>
        <row r="51">
          <cell r="C51" t="str">
            <v>GDB161.9E/6W/VWPG51.15L0.9/3xALN14.152B/2xALP55</v>
          </cell>
        </row>
        <row r="52">
          <cell r="C52" t="str">
            <v>GDB161.9E/6W/VWPG51.15L1.2/3xALN14.202B/2xALP56</v>
          </cell>
        </row>
        <row r="53">
          <cell r="C53" t="str">
            <v>GDB161.9E/6W/VWPG51.20L3.4/3xALN15.252B/2xALP58</v>
          </cell>
        </row>
        <row r="54">
          <cell r="C54" t="str">
            <v>-----6-weg naregelafsluiters | 0-10V | drukgecomp. | Modbus RTU-----</v>
          </cell>
        </row>
        <row r="55">
          <cell r="C55" t="str">
            <v>GDB161.9E/MO6P/VWPG51.15L0.9/3xALN14.152B/ALP55</v>
          </cell>
        </row>
        <row r="56">
          <cell r="C56" t="str">
            <v>GDB161.9E/MO6P/VWPG51.15L1.2/3xALN14.202B/ALP56</v>
          </cell>
        </row>
        <row r="57">
          <cell r="C57" t="str">
            <v>GDB161.9E/MO6P/6W/VWPG51.20L3.4/3xALN15.252B/ALP58</v>
          </cell>
        </row>
        <row r="58">
          <cell r="C58" t="str">
            <v>-----Isolatieschalen t.b.v. 6-weg kranen-----</v>
          </cell>
        </row>
        <row r="59">
          <cell r="C59" t="str">
            <v>ALI10VWG41</v>
          </cell>
        </row>
        <row r="60">
          <cell r="C60" t="str">
            <v>ALI20VWG41</v>
          </cell>
        </row>
        <row r="61">
          <cell r="C61" t="str">
            <v>-----Losse aandrijvingen Siemens-----</v>
          </cell>
        </row>
        <row r="62">
          <cell r="C62" t="str">
            <v>STA121.65L10</v>
          </cell>
        </row>
        <row r="63">
          <cell r="C63" t="str">
            <v>STA161.65L10</v>
          </cell>
        </row>
        <row r="65">
          <cell r="C65" t="str">
            <v>..</v>
          </cell>
        </row>
        <row r="66">
          <cell r="C66" t="str">
            <v>..</v>
          </cell>
        </row>
        <row r="67">
          <cell r="C67" t="str">
            <v>..</v>
          </cell>
        </row>
        <row r="68">
          <cell r="C68" t="str">
            <v>..</v>
          </cell>
        </row>
        <row r="69">
          <cell r="C69" t="str">
            <v>..</v>
          </cell>
        </row>
        <row r="70">
          <cell r="C70" t="str">
            <v>..</v>
          </cell>
        </row>
        <row r="71">
          <cell r="C71" t="str">
            <v>..</v>
          </cell>
        </row>
        <row r="72">
          <cell r="C72" t="str">
            <v>..</v>
          </cell>
        </row>
        <row r="73">
          <cell r="C73" t="str">
            <v>..</v>
          </cell>
        </row>
        <row r="79">
          <cell r="C79" t="str">
            <v>-----Aanwezigheidssensoren-----</v>
          </cell>
        </row>
        <row r="80">
          <cell r="C80" t="str">
            <v>DBWF-C</v>
          </cell>
        </row>
        <row r="81">
          <cell r="C81" t="str">
            <v>-----Kanaal TT en luchtsnelheid-----</v>
          </cell>
        </row>
        <row r="82">
          <cell r="C82" t="str">
            <v>CTS-P + A-MF</v>
          </cell>
        </row>
        <row r="83">
          <cell r="C83" t="str">
            <v>QVM62.1-HE</v>
          </cell>
        </row>
        <row r="87">
          <cell r="C87" t="str">
            <v>..</v>
          </cell>
        </row>
        <row r="88">
          <cell r="C88" t="str">
            <v>..</v>
          </cell>
        </row>
        <row r="89">
          <cell r="C89" t="str">
            <v>..</v>
          </cell>
        </row>
        <row r="90">
          <cell r="C90" t="str">
            <v>..</v>
          </cell>
        </row>
        <row r="91">
          <cell r="C91" t="str">
            <v>..</v>
          </cell>
        </row>
        <row r="92">
          <cell r="C92" t="str">
            <v>..</v>
          </cell>
        </row>
        <row r="93">
          <cell r="C93" t="str">
            <v>..</v>
          </cell>
        </row>
        <row r="94">
          <cell r="C94" t="str">
            <v>..</v>
          </cell>
        </row>
        <row r="95">
          <cell r="C95" t="str">
            <v>..</v>
          </cell>
        </row>
        <row r="96">
          <cell r="C96" t="str">
            <v>..</v>
          </cell>
        </row>
        <row r="97">
          <cell r="C97" t="str">
            <v>..</v>
          </cell>
        </row>
        <row r="98">
          <cell r="C98" t="str">
            <v>..</v>
          </cell>
        </row>
        <row r="105">
          <cell r="B105" t="str">
            <v>Montageplaat NR (PS-CX)</v>
          </cell>
        </row>
        <row r="106">
          <cell r="B106" t="str">
            <v>Montageplaat NR (PS-CX-2xRO/AO)</v>
          </cell>
        </row>
        <row r="107">
          <cell r="B107" t="str">
            <v>Montageplaat NR (PS-CX-3xRO/AO)</v>
          </cell>
        </row>
        <row r="108">
          <cell r="B108" t="str">
            <v>Montageplaat NR (PS15R-CX-1xDALI)</v>
          </cell>
        </row>
        <row r="109">
          <cell r="B109" t="str">
            <v>Montageplaat NR (PS15R-CX-2xDALI)</v>
          </cell>
        </row>
        <row r="110">
          <cell r="B110" t="str">
            <v>Montageplaat NR (PS15R-CX-2xDALI-2xRO/AO)</v>
          </cell>
        </row>
        <row r="111">
          <cell r="B111" t="str">
            <v>Montageplaat NR (PS15R-CX-2xDALI-3xRO/AO)</v>
          </cell>
        </row>
        <row r="112">
          <cell r="B112" t="str">
            <v>Transportkosten montageplaten</v>
          </cell>
        </row>
        <row r="113">
          <cell r="B113" t="str">
            <v>Montagedoos 291x241x128 met transparante deksel</v>
          </cell>
        </row>
        <row r="114">
          <cell r="B114" t="str">
            <v>Trafo 40VA 230/24Vac + zek.houder</v>
          </cell>
        </row>
        <row r="115">
          <cell r="B115" t="str">
            <v>Trafo 63VA 230/24Vac + zek.houder</v>
          </cell>
        </row>
        <row r="116">
          <cell r="B116" t="str">
            <v>Trafo 80VA 230/24Vac + zek.houder</v>
          </cell>
        </row>
        <row r="117">
          <cell r="B117" t="str">
            <v>Vrachtkosten AE Europe (vanaf 20 stuks)</v>
          </cell>
        </row>
        <row r="118">
          <cell r="B118" t="str">
            <v>Vrij invulbaar</v>
          </cell>
        </row>
      </sheetData>
      <sheetData sheetId="22">
        <row r="32">
          <cell r="B32" t="str">
            <v>Overspanningsbeveiliging t/m 63A</v>
          </cell>
        </row>
        <row r="33">
          <cell r="B33" t="str">
            <v>Overspanningsbeveiliging t/m vanaf 125A</v>
          </cell>
        </row>
        <row r="36">
          <cell r="B36" t="str">
            <v>Fasebewaking</v>
          </cell>
        </row>
        <row r="42">
          <cell r="B42" t="str">
            <v>Motorgroep DOL max. 4 kW</v>
          </cell>
        </row>
        <row r="43">
          <cell r="B43" t="str">
            <v>Motorgroep ster/driehoek max. 7,5 kW</v>
          </cell>
        </row>
        <row r="44">
          <cell r="B44" t="str">
            <v>Motorgroep ster/driehoek max. 11 kW</v>
          </cell>
        </row>
        <row r="45">
          <cell r="B45" t="str">
            <v>Motorgroep ster/driehoek max. 15 kW</v>
          </cell>
        </row>
        <row r="46">
          <cell r="B46" t="str">
            <v>Motorgroep ster/driehoek max. 18,5 kW</v>
          </cell>
        </row>
        <row r="47">
          <cell r="B47" t="str">
            <v>Motorgroep ster/driehoek max. 22 kW</v>
          </cell>
        </row>
        <row r="48">
          <cell r="B48" t="str">
            <v>Motorgroep ster/driehoek max. 30 kW</v>
          </cell>
        </row>
        <row r="49">
          <cell r="B49" t="str">
            <v>Motorgroep softstarter. max. 4 kW</v>
          </cell>
        </row>
        <row r="50">
          <cell r="B50" t="str">
            <v>Motorgroep softstarter. max. 5,5 kW</v>
          </cell>
        </row>
        <row r="51">
          <cell r="B51" t="str">
            <v>Motorgroep softstarter. max. 7,5 kW</v>
          </cell>
        </row>
        <row r="52">
          <cell r="B52" t="str">
            <v>Motorgroep softstarter. max. 11 kW</v>
          </cell>
        </row>
        <row r="53">
          <cell r="B53" t="str">
            <v>Motorgroep softstarter. max. 15 kW</v>
          </cell>
        </row>
        <row r="54">
          <cell r="B54" t="str">
            <v>Motorgroep softstarter. max. 18,5 kW</v>
          </cell>
        </row>
        <row r="55">
          <cell r="B55" t="str">
            <v>Motorgroep softstarter. max. 22 kW</v>
          </cell>
        </row>
        <row r="56">
          <cell r="B56" t="str">
            <v>Motorgroep dahlander. max. 4 kW</v>
          </cell>
        </row>
        <row r="57">
          <cell r="B57" t="str">
            <v>Motorgroep dahlander. max. 7,5 kW</v>
          </cell>
        </row>
        <row r="59">
          <cell r="B59" t="str">
            <v>Voeding 230V 10A 1p+N</v>
          </cell>
        </row>
        <row r="60">
          <cell r="B60" t="str">
            <v>Voeding 230V 16A 1p+N</v>
          </cell>
        </row>
        <row r="61">
          <cell r="B61" t="str">
            <v>Voeding 400V 10A 3p</v>
          </cell>
        </row>
        <row r="62">
          <cell r="B62" t="str">
            <v>Voeding 400V 25A 3p</v>
          </cell>
        </row>
        <row r="63">
          <cell r="B63" t="str">
            <v>Voeding 400V 40A 3p</v>
          </cell>
        </row>
        <row r="64">
          <cell r="B64" t="str">
            <v>Voeding 400V 10A 3p+N</v>
          </cell>
        </row>
        <row r="65">
          <cell r="B65" t="str">
            <v>Voeding 400V 40A 3p+N</v>
          </cell>
        </row>
        <row r="66">
          <cell r="B66" t="str">
            <v>Voeding 400V 50A 3p+N</v>
          </cell>
        </row>
        <row r="67">
          <cell r="B67" t="str">
            <v>Voeding 400V 63A 3p+N</v>
          </cell>
        </row>
        <row r="68">
          <cell r="B68" t="str">
            <v>Voeding 400V 80A 3p+N</v>
          </cell>
        </row>
        <row r="69">
          <cell r="B69" t="str">
            <v>Voeding 400V 100A 3p+N</v>
          </cell>
        </row>
        <row r="70">
          <cell r="B70" t="str">
            <v>Voeding 400V 125A 3p+N</v>
          </cell>
        </row>
        <row r="71">
          <cell r="B71" t="str">
            <v>Aardlekautm. 1p+N ,10A,30mA C-kar</v>
          </cell>
        </row>
        <row r="74">
          <cell r="B74" t="str">
            <v>Voeding 400V 4kW geschakeld</v>
          </cell>
        </row>
        <row r="75">
          <cell r="B75" t="str">
            <v>Voeding 400V 5,5kW geschakeld</v>
          </cell>
        </row>
        <row r="76">
          <cell r="B76" t="str">
            <v>Voeding 400V 7,5kW geschakeld</v>
          </cell>
        </row>
        <row r="77">
          <cell r="B77" t="str">
            <v>Voeding 400V 11kW geschakeld</v>
          </cell>
        </row>
        <row r="78">
          <cell r="B78" t="str">
            <v>Voeding 400V 15kW geschakeld</v>
          </cell>
        </row>
        <row r="79">
          <cell r="B79" t="str">
            <v>Voeding 400V 18,5kW geschakeld</v>
          </cell>
        </row>
        <row r="80">
          <cell r="B80" t="str">
            <v>Voeding 400V 22kW geschakeld</v>
          </cell>
        </row>
        <row r="81">
          <cell r="B81" t="str">
            <v>Voeding 400V 30kW geschakeld</v>
          </cell>
        </row>
        <row r="82">
          <cell r="B82" t="str">
            <v>Voeding 400V 37kW geschakeld</v>
          </cell>
        </row>
        <row r="84">
          <cell r="B84" t="str">
            <v>Voeding 230V 10A geschakeld</v>
          </cell>
        </row>
        <row r="85">
          <cell r="B85" t="str">
            <v>Voeding 400V 10A geschakeld</v>
          </cell>
        </row>
        <row r="86">
          <cell r="B86" t="str">
            <v>Voeding pomp 230V max 1kW</v>
          </cell>
        </row>
        <row r="87">
          <cell r="B87" t="str">
            <v>Voeding pomp 400V max 4kW</v>
          </cell>
        </row>
        <row r="88">
          <cell r="B88" t="str">
            <v>Voeding pomp 230V geschakeld</v>
          </cell>
        </row>
        <row r="89">
          <cell r="B89" t="str">
            <v>Voeding tracing 230V 10A geschakeld</v>
          </cell>
        </row>
        <row r="91">
          <cell r="B91" t="str">
            <v>Installatieautomaat 230V 10A</v>
          </cell>
        </row>
        <row r="92">
          <cell r="B92" t="str">
            <v>Trafo 24VAC 100VA</v>
          </cell>
        </row>
        <row r="93">
          <cell r="B93" t="str">
            <v>Trafo 24VAC 160VA</v>
          </cell>
        </row>
        <row r="94">
          <cell r="B94" t="str">
            <v>Trafo 24VAC 250VA</v>
          </cell>
        </row>
        <row r="95">
          <cell r="B95" t="str">
            <v>Trafo 24VAC 315VA</v>
          </cell>
        </row>
        <row r="96">
          <cell r="B96" t="str">
            <v>Trafo 24VAC 400VA</v>
          </cell>
        </row>
        <row r="97">
          <cell r="B97" t="str">
            <v>Trafo 24VAC 500VA</v>
          </cell>
        </row>
        <row r="98">
          <cell r="B98" t="str">
            <v>Installatieautomaat 230V 2A</v>
          </cell>
        </row>
        <row r="99">
          <cell r="B99" t="str">
            <v>Installatieautomaat 230V 4A</v>
          </cell>
        </row>
        <row r="100">
          <cell r="B100" t="str">
            <v>Installatieautomaat 230V 6A</v>
          </cell>
        </row>
        <row r="101">
          <cell r="B101" t="str">
            <v>Gelijkstroomvoeding 24VDC 3,2A</v>
          </cell>
        </row>
        <row r="102">
          <cell r="B102" t="str">
            <v>Gelijkstroomvoeding 24VDC 5,0A</v>
          </cell>
        </row>
        <row r="103">
          <cell r="B103" t="str">
            <v>Gelijkstroomvoeding 24VDC 10A</v>
          </cell>
        </row>
        <row r="104">
          <cell r="B104" t="str">
            <v>Gelijkstroomvoeding 24VDC 30A</v>
          </cell>
        </row>
        <row r="105">
          <cell r="B105" t="str">
            <v>Installatieautomaat 230V DC 2A</v>
          </cell>
        </row>
        <row r="106">
          <cell r="B106" t="str">
            <v>Installatieautomaat 230V DC 4A</v>
          </cell>
        </row>
        <row r="107">
          <cell r="B107" t="str">
            <v>Gelijkstr.voeding 24VDC 3,2A + 1 autom.</v>
          </cell>
        </row>
        <row r="108">
          <cell r="B108" t="str">
            <v>Gelijkstr.voeding 24VDC 5,0A + 2 autom.</v>
          </cell>
        </row>
        <row r="109">
          <cell r="B109" t="str">
            <v>Gelijkstr.voeding 24VDC 10A + 4 autom.</v>
          </cell>
        </row>
        <row r="110">
          <cell r="B110" t="str">
            <v>Gelijkstr.voeding 24VDC 30A + 8 autom.</v>
          </cell>
        </row>
        <row r="111">
          <cell r="B111" t="str">
            <v xml:space="preserve">WCD met randaarde voor railmontage </v>
          </cell>
        </row>
        <row r="113">
          <cell r="B113" t="str">
            <v>Stuurstr. trafo 100VA + inst. automaat</v>
          </cell>
        </row>
        <row r="114">
          <cell r="B114" t="str">
            <v>Stuurstr. trafo 160VA + inst. automaat</v>
          </cell>
        </row>
        <row r="115">
          <cell r="B115" t="str">
            <v>Stuurstr. trafo 250VA + inst. automaat</v>
          </cell>
        </row>
        <row r="116">
          <cell r="B116" t="str">
            <v>Stuurstr. trafo 400VA + inst. automaat</v>
          </cell>
        </row>
        <row r="118">
          <cell r="B118" t="str">
            <v>Kastverlichting + deurschakelaar</v>
          </cell>
        </row>
        <row r="119">
          <cell r="B119" t="str">
            <v>Kastventilatie + thermostaat</v>
          </cell>
        </row>
        <row r="120">
          <cell r="B120" t="str">
            <v>Kastverwarming + thermostaat</v>
          </cell>
        </row>
        <row r="121">
          <cell r="B121" t="str">
            <v>T-Handgreep + cylinderslot wandkast</v>
          </cell>
        </row>
        <row r="122">
          <cell r="B122" t="str">
            <v>T-Handgreep + cylinderslot staande kast</v>
          </cell>
        </row>
        <row r="123">
          <cell r="B123" t="str">
            <v>Deurtableau metaal 600mm</v>
          </cell>
        </row>
        <row r="124">
          <cell r="B124" t="str">
            <v>180 graden scharnierenset</v>
          </cell>
        </row>
        <row r="127">
          <cell r="B127" t="str">
            <v>Magneetschakelaar max. 4kW</v>
          </cell>
        </row>
        <row r="128">
          <cell r="B128" t="str">
            <v>Magneetschakelaar max. 5,5kW</v>
          </cell>
        </row>
        <row r="129">
          <cell r="B129" t="str">
            <v>Magneetschakelaar max. 7,5kW</v>
          </cell>
        </row>
        <row r="130">
          <cell r="B130" t="str">
            <v>Magneetschakelaar max. 11kW</v>
          </cell>
        </row>
        <row r="131">
          <cell r="B131" t="str">
            <v>Magneetschakelaar max. 15kW</v>
          </cell>
        </row>
        <row r="132">
          <cell r="B132" t="str">
            <v>Magneetschakelaar max. 18,5kW</v>
          </cell>
        </row>
        <row r="133">
          <cell r="B133" t="str">
            <v>Magneetschakelaar max. 22kW</v>
          </cell>
        </row>
        <row r="134">
          <cell r="B134" t="str">
            <v>Magneetschakelaar max. 30kW</v>
          </cell>
        </row>
        <row r="135">
          <cell r="B135" t="str">
            <v>Magneetschakelaar max. 37kW</v>
          </cell>
        </row>
        <row r="136">
          <cell r="B136" t="str">
            <v>Magneetschakelaar max. 45kW</v>
          </cell>
        </row>
        <row r="137">
          <cell r="B137" t="str">
            <v>Magneetschakelaar max. 55kW</v>
          </cell>
        </row>
        <row r="139">
          <cell r="B139" t="str">
            <v>Hulprelais 24V/230VAC</v>
          </cell>
        </row>
        <row r="140">
          <cell r="B140" t="str">
            <v>Hulprelais 24V/230VAC goudcontacten</v>
          </cell>
        </row>
        <row r="151">
          <cell r="B151" t="str">
            <v>Reset storing (HW) (max. 4 contacten)</v>
          </cell>
        </row>
        <row r="152">
          <cell r="B152" t="str">
            <v>Hulprelais + signaallamp</v>
          </cell>
        </row>
        <row r="154">
          <cell r="B154" t="str">
            <v>Kwh 63A direct 230V Modbus</v>
          </cell>
        </row>
        <row r="155">
          <cell r="B155" t="str">
            <v>KWH-meter M-Bus/Modbus (5A) incl. 3P+N en stroomtrafo's</v>
          </cell>
        </row>
        <row r="156">
          <cell r="B156" t="str">
            <v>Kwh 63A direct 3x230/400V Puls</v>
          </cell>
        </row>
        <row r="157">
          <cell r="B157" t="str">
            <v>Kwh 63A direct 3x230/400V Modbus</v>
          </cell>
        </row>
        <row r="158">
          <cell r="B158" t="str">
            <v>Kwh 125A direct 3x230/400V Puls</v>
          </cell>
        </row>
        <row r="159">
          <cell r="B159" t="str">
            <v>Kwh 125A direct 3x230/400V Modbus</v>
          </cell>
        </row>
        <row r="160">
          <cell r="B160" t="str">
            <v>3x Stroomtrafo max,400/5A</v>
          </cell>
        </row>
        <row r="207">
          <cell r="C207" t="str">
            <v xml:space="preserve">EW-50 Webbased centrale regeling Mitsubishi </v>
          </cell>
        </row>
        <row r="290">
          <cell r="N290" t="str">
            <v>1800 x 1200 x 400 mm  - 40 A</v>
          </cell>
          <cell r="U290" t="str">
            <v>1200 x 1200 x 300 mm  - 63 A</v>
          </cell>
        </row>
      </sheetData>
      <sheetData sheetId="23">
        <row r="10">
          <cell r="C10" t="str">
            <v>------Converters------</v>
          </cell>
        </row>
        <row r="11">
          <cell r="C11" t="str">
            <v>PW3</v>
          </cell>
        </row>
        <row r="12">
          <cell r="C12" t="str">
            <v>PW20</v>
          </cell>
        </row>
        <row r="13">
          <cell r="C13" t="str">
            <v>PW60</v>
          </cell>
        </row>
        <row r="14">
          <cell r="C14" t="str">
            <v>KNX BAOS870/2759785</v>
          </cell>
        </row>
        <row r="15">
          <cell r="C15" t="str">
            <v>MPW6 24V - RS485</v>
          </cell>
        </row>
        <row r="16">
          <cell r="C16" t="str">
            <v>IMC-21a-M-SC</v>
          </cell>
        </row>
        <row r="17">
          <cell r="C17" t="str">
            <v>TP-Link TL-PoE150S</v>
          </cell>
        </row>
        <row r="18">
          <cell r="C18" t="str">
            <v>------UPS------</v>
          </cell>
        </row>
        <row r="19">
          <cell r="C19" t="str">
            <v>5P 650I/Relay card</v>
          </cell>
        </row>
        <row r="20">
          <cell r="C20" t="str">
            <v>------Ethernet switches------</v>
          </cell>
        </row>
        <row r="21">
          <cell r="C21" t="str">
            <v>EDS-2005-ELP</v>
          </cell>
        </row>
        <row r="22">
          <cell r="C22" t="str">
            <v>EDS-2008-ELP</v>
          </cell>
        </row>
        <row r="23">
          <cell r="C23" t="str">
            <v>------Vrij invulbaar------</v>
          </cell>
        </row>
        <row r="24">
          <cell r="C24" t="str">
            <v>..</v>
          </cell>
        </row>
        <row r="25">
          <cell r="C25" t="str">
            <v>..</v>
          </cell>
        </row>
        <row r="26">
          <cell r="C26" t="str">
            <v>..</v>
          </cell>
        </row>
        <row r="27">
          <cell r="C27" t="str">
            <v>..</v>
          </cell>
        </row>
      </sheetData>
      <sheetData sheetId="24">
        <row r="95">
          <cell r="B95" t="str">
            <v>&gt;&gt;&gt; PAKKET &lt;&lt;&lt;</v>
          </cell>
        </row>
        <row r="96">
          <cell r="B96" t="str">
            <v>Starter pakket</v>
          </cell>
        </row>
        <row r="97">
          <cell r="B97" t="str">
            <v>Starter pakket inclusief Remote Commissioning</v>
          </cell>
        </row>
        <row r="98">
          <cell r="B98" t="str">
            <v>Essentials pakket</v>
          </cell>
        </row>
        <row r="99">
          <cell r="B99" t="str">
            <v>Plus pakket</v>
          </cell>
        </row>
        <row r="102">
          <cell r="B102" t="str">
            <v>&gt;&gt;&gt; AANTAL DATAPUNTEN &lt;&lt;&lt;</v>
          </cell>
        </row>
        <row r="103">
          <cell r="B103" t="str">
            <v>Historical Data Storage tot 10 datapunten</v>
          </cell>
        </row>
        <row r="104">
          <cell r="B104" t="str">
            <v>Historical Data Storage tot 50 datapunten</v>
          </cell>
        </row>
        <row r="105">
          <cell r="B105" t="str">
            <v>Historical Data Storage tot 100 datapunten</v>
          </cell>
        </row>
        <row r="106">
          <cell r="B106" t="str">
            <v>Historical Data Storage tot 250 datapunten</v>
          </cell>
        </row>
        <row r="107">
          <cell r="B107" t="str">
            <v>Historical Data Storage tot 500 datapunten</v>
          </cell>
        </row>
        <row r="108">
          <cell r="B108" t="str">
            <v>Historical Data Storage tot 1000 datapunten</v>
          </cell>
        </row>
        <row r="109">
          <cell r="B109" t="str">
            <v>Historical Data Storage tot 2000 datapunten</v>
          </cell>
        </row>
        <row r="111">
          <cell r="B111" t="str">
            <v>&gt;&gt;&gt; LENGTE VAN OPSLAG &lt;&lt;&lt;</v>
          </cell>
        </row>
        <row r="112">
          <cell r="B112" t="str">
            <v>Historical Data Storage lengte van opslag 3 maanden</v>
          </cell>
        </row>
        <row r="113">
          <cell r="B113" t="str">
            <v>Historical Data Storage lengte van opslag 13 maanden</v>
          </cell>
        </row>
        <row r="114">
          <cell r="B114" t="str">
            <v>Historical Data Storage lengte van opslag 26 maanden</v>
          </cell>
        </row>
        <row r="115">
          <cell r="B115" t="str">
            <v>Historical Data Storage lengte van opslag 61 maanden</v>
          </cell>
        </row>
        <row r="118">
          <cell r="B118" t="str">
            <v>&gt;&gt;&gt; BUILDIUM COMFORT MANAGEMENT &lt;&lt;&lt;</v>
          </cell>
        </row>
        <row r="119">
          <cell r="B119" t="str">
            <v>Buildium Comfort Management | 10 ruimtes</v>
          </cell>
        </row>
        <row r="120">
          <cell r="B120" t="str">
            <v>Buildium Comfort Management | 20 ruimtes</v>
          </cell>
        </row>
        <row r="121">
          <cell r="B121" t="str">
            <v>Buildium Comfort Management | 50 ruimtes</v>
          </cell>
        </row>
        <row r="122">
          <cell r="B122" t="str">
            <v>Buildium Comfort Management | 100 ruimtes</v>
          </cell>
        </row>
        <row r="123">
          <cell r="B123" t="str">
            <v>Buildium Comfort Management | 250 ruimtes</v>
          </cell>
        </row>
        <row r="125">
          <cell r="B125" t="str">
            <v>&gt;&gt;&gt; ENERGY INSIGHT &lt;&lt;&lt;</v>
          </cell>
        </row>
        <row r="126">
          <cell r="B126" t="str">
            <v>Energy Insight - 10 datapunten</v>
          </cell>
        </row>
        <row r="127">
          <cell r="B127" t="str">
            <v>Energy Insight - 20 datapunten</v>
          </cell>
        </row>
        <row r="128">
          <cell r="B128" t="str">
            <v>Energy Insight - 50 datapunten</v>
          </cell>
        </row>
        <row r="129">
          <cell r="B129" t="str">
            <v>Energy Insight - 100 datapunten</v>
          </cell>
        </row>
        <row r="131">
          <cell r="B131" t="str">
            <v>&gt;&gt;&gt; API &lt;&lt;&lt;</v>
          </cell>
        </row>
        <row r="132">
          <cell r="B132" t="str">
            <v>Realtime Data API</v>
          </cell>
        </row>
        <row r="133">
          <cell r="B133" t="str">
            <v>Historical Data API</v>
          </cell>
        </row>
        <row r="134">
          <cell r="B134" t="str">
            <v>Realtime + Historical Data API</v>
          </cell>
        </row>
        <row r="136">
          <cell r="B136" t="str">
            <v>&gt;&gt;&gt; EDGE GATEWAY ABONNEMENT &lt;&lt;&lt;</v>
          </cell>
        </row>
        <row r="137">
          <cell r="B137" t="str">
            <v>Priva Edge Gateway: KOPEN</v>
          </cell>
        </row>
        <row r="138">
          <cell r="B138" t="str">
            <v>Priva Edge Gateway: HUREN</v>
          </cell>
        </row>
        <row r="139">
          <cell r="B139" t="str">
            <v>Priva Edge Gateway: AL EIGENDOM</v>
          </cell>
        </row>
        <row r="142">
          <cell r="B142" t="str">
            <v>&gt;&gt;&gt; CONECO REMOTE ACCESS (Secomea) &lt;&lt;&lt;</v>
          </cell>
        </row>
        <row r="143">
          <cell r="B143" t="str">
            <v>Coneco Remote Access (vaste internetaansluiting)</v>
          </cell>
        </row>
        <row r="144">
          <cell r="B144" t="str">
            <v>Coneco Remote Access (incl. 4G databundel)</v>
          </cell>
        </row>
        <row r="145">
          <cell r="B145" t="str">
            <v>Coneco Remote Access (vervangen router - bestaand abo)</v>
          </cell>
        </row>
      </sheetData>
      <sheetData sheetId="25">
        <row r="14">
          <cell r="B14" t="str">
            <v>&gt;&gt;&gt; GBS LOKAAL &lt;&lt;&lt;</v>
          </cell>
        </row>
        <row r="15">
          <cell r="B15" t="str">
            <v>Priva SX100 inclusief Blue ID History voor 25 datapunten</v>
          </cell>
        </row>
        <row r="16">
          <cell r="B16" t="str">
            <v>Priva SX100 inclusief Blue ID History voor 125 datapunten</v>
          </cell>
        </row>
        <row r="17">
          <cell r="B17" t="str">
            <v>Priva SX100 inclusief Blue ID History voor 525 datapunten</v>
          </cell>
        </row>
        <row r="18">
          <cell r="B18" t="str">
            <v>Priva SX100 inclusief Blue ID History voor 1025 datapunten</v>
          </cell>
        </row>
        <row r="19">
          <cell r="B19" t="str">
            <v>Building Operator Local | tot 50 I/O's inclusief Edge Gateway</v>
          </cell>
        </row>
        <row r="20">
          <cell r="B20" t="str">
            <v>Building Operator Local | tot 100 I/O's inclusief Edge Gateway</v>
          </cell>
        </row>
        <row r="21">
          <cell r="B21" t="str">
            <v>Building Operator Local | tot 250 I/O's inclusief Edge Gateway</v>
          </cell>
        </row>
        <row r="22">
          <cell r="B22" t="str">
            <v>Building Operator Local | meer dan 250 I/O's inclusief Edge Gateway</v>
          </cell>
        </row>
        <row r="24">
          <cell r="B24" t="str">
            <v>&gt;&gt;&gt; LICENTIES BUILDING OPERATOR LOCAL &lt;&lt;&lt;</v>
          </cell>
        </row>
        <row r="25">
          <cell r="B25" t="str">
            <v>Building Operator Local | tot 50 I/O's</v>
          </cell>
        </row>
        <row r="26">
          <cell r="B26" t="str">
            <v>Building Operator Local | tot 100 I/O's</v>
          </cell>
        </row>
        <row r="27">
          <cell r="B27" t="str">
            <v>Building Operator Local | tot 250 I/O's</v>
          </cell>
        </row>
        <row r="28">
          <cell r="B28" t="str">
            <v>Building Operator Local | meer dan 250 I/O's</v>
          </cell>
        </row>
        <row r="30">
          <cell r="B30" t="str">
            <v>&gt;&gt;&gt; BEDIENING EN MANAGEMENT SOFTWARE TC8 &lt;&lt;&lt;</v>
          </cell>
        </row>
        <row r="31">
          <cell r="B31" t="str">
            <v>Blue ID TC History basis inclusief 25 datapunten</v>
          </cell>
        </row>
        <row r="32">
          <cell r="B32" t="str">
            <v>Blue ID TC History uitbreiding met 25 datapunten</v>
          </cell>
        </row>
        <row r="33">
          <cell r="B33" t="str">
            <v>Blue ID TC History uitbreiding met 50 datapunten</v>
          </cell>
        </row>
        <row r="34">
          <cell r="B34" t="str">
            <v>Blue ID TC History uitbreiding met 100 datapunten</v>
          </cell>
        </row>
        <row r="35">
          <cell r="B35" t="str">
            <v>Blue ID TC History uitbreiding met 500 datapunten</v>
          </cell>
        </row>
        <row r="36">
          <cell r="B36" t="str">
            <v>Blue ID TC History uitbreiding met 1000 datapunten</v>
          </cell>
        </row>
        <row r="37">
          <cell r="B37" t="str">
            <v>Blue ID TC ServeCenter basis incl. 5 projectlicenties</v>
          </cell>
        </row>
        <row r="38">
          <cell r="B38" t="str">
            <v>Blue ID TC ServeCenter uitbr. 1 projectlicentie</v>
          </cell>
        </row>
        <row r="39">
          <cell r="B39" t="str">
            <v>Priva Blue ID software dongle</v>
          </cell>
        </row>
        <row r="40">
          <cell r="B40" t="str">
            <v>Industriële PC voor Priva History (veranging SX100)</v>
          </cell>
        </row>
        <row r="41">
          <cell r="B41" t="str">
            <v>SX100 Power adapter + EU Netsnoer 2,5 meter</v>
          </cell>
        </row>
        <row r="43">
          <cell r="B43" t="str">
            <v>&gt;&gt;&gt; BEDIENING EN MANAGEMENT SOFTWARE TC6 &lt;&lt;&lt;</v>
          </cell>
        </row>
        <row r="44">
          <cell r="B44" t="str">
            <v>TC History uitbreiding met 25 datapunten</v>
          </cell>
        </row>
        <row r="45">
          <cell r="B45" t="str">
            <v>TC History uitbreiding met 50 datapunten</v>
          </cell>
        </row>
        <row r="46">
          <cell r="B46" t="str">
            <v>TC History uitbreiding met 100 datapunten</v>
          </cell>
        </row>
        <row r="47">
          <cell r="B47" t="str">
            <v>TC History uitbreiding met 500 datapunten</v>
          </cell>
        </row>
        <row r="48">
          <cell r="B48" t="str">
            <v>TC History uitbreiding met 1000 datapunten</v>
          </cell>
        </row>
        <row r="49">
          <cell r="B49" t="str">
            <v>Priva TC software dongle (virtuele dongle)</v>
          </cell>
        </row>
        <row r="50">
          <cell r="B50" t="str">
            <v>TC ServeCenter basis inclusief 5 projectlicenties</v>
          </cell>
        </row>
        <row r="51">
          <cell r="B51" t="str">
            <v>TC ServeCenter uitbreiding met 25 projectlicenties</v>
          </cell>
        </row>
        <row r="52">
          <cell r="B52" t="str">
            <v>TC ServeCenter uitbreiding met 50 projectlicenties</v>
          </cell>
        </row>
        <row r="53">
          <cell r="B53" t="str">
            <v>TC LAN Manager basis voor 1 TC Vision-gebruiker en incl. 1 T</v>
          </cell>
        </row>
        <row r="54">
          <cell r="B54" t="str">
            <v>TC LAN Manager uitbreiding met 1 TC Vision-gebruiker</v>
          </cell>
        </row>
        <row r="55">
          <cell r="B55" t="str">
            <v>TC LAN Manager uitbreiding met 2 TC Vision-gebruikers</v>
          </cell>
        </row>
        <row r="56">
          <cell r="B56" t="str">
            <v>TC LAN Manager uitbreiding met 5 TC Vision-gebruikers</v>
          </cell>
        </row>
        <row r="57">
          <cell r="B57" t="str">
            <v>TC LAN Manager uitbreiding met 1 TC WebVision-gebruiker</v>
          </cell>
        </row>
        <row r="58">
          <cell r="B58" t="str">
            <v>TC LAN Manager uitbreiding met 2 TC WebVision-gebruikers</v>
          </cell>
        </row>
        <row r="59">
          <cell r="B59" t="str">
            <v>TC LAN Manager uitbreiding met 5 TC WebVision-gebruikers</v>
          </cell>
        </row>
        <row r="61">
          <cell r="B61" t="str">
            <v>&gt;&gt;&gt; PC's EN TOUCHSCREENS &lt;&lt;&lt;</v>
          </cell>
        </row>
        <row r="62">
          <cell r="B62" t="str">
            <v>Touchpanel pc 15 inch, 8Gb, 120Gb SSD, Intel i5, Windows 10</v>
          </cell>
        </row>
        <row r="63">
          <cell r="B63" t="str">
            <v>Touchpanel pc 17 inch, 8Gb, 120Gb SSD, Intel i5, Windows 10</v>
          </cell>
        </row>
        <row r="64">
          <cell r="B64" t="str">
            <v>Touchpanel pc 19 inch, 8Gb, 120Gb SSD, Intel i5, Windows 10</v>
          </cell>
        </row>
        <row r="65">
          <cell r="B65" t="str">
            <v>Touchpanel pc 21,5 inch, 8Gb, 120Gb SSD, Intel i5, Windows 10</v>
          </cell>
        </row>
        <row r="66">
          <cell r="B66" t="str">
            <v>PC ThinkCentre 8Gb/256GB + Monitor 24"</v>
          </cell>
        </row>
        <row r="68">
          <cell r="B68" t="str">
            <v>&gt;&gt;&gt; OVERIGEN &lt;&lt;&lt;</v>
          </cell>
        </row>
        <row r="69">
          <cell r="B69" t="str">
            <v>Buildium QR code sticker</v>
          </cell>
        </row>
      </sheetData>
      <sheetData sheetId="26">
        <row r="6">
          <cell r="B6" t="str">
            <v>--------IP55--------</v>
          </cell>
        </row>
        <row r="7">
          <cell r="B7" t="str">
            <v>FC-102P1K1 Freq.regelaar 1,1kW 2,7A (IP55)</v>
          </cell>
        </row>
        <row r="8">
          <cell r="B8" t="str">
            <v>FC-102P1K5 Freq.regelaar 1,5kW 3,4A (IP55)</v>
          </cell>
        </row>
        <row r="9">
          <cell r="B9" t="str">
            <v>FC-102P2K2 Freq.regelaar 2,2kW 5,6A (IP55)</v>
          </cell>
        </row>
        <row r="10">
          <cell r="B10" t="str">
            <v>FC-102P3K0 Freq.regelaar 3,0kW 7,2A (IP55)</v>
          </cell>
        </row>
        <row r="11">
          <cell r="B11" t="str">
            <v>FC-102P4K0 Freq.regelaar 4,0kW 10A (IP55)</v>
          </cell>
        </row>
        <row r="12">
          <cell r="B12" t="str">
            <v>FC-102P5K5 Freq.regelaar 5,5kW 13A (IP55)</v>
          </cell>
        </row>
        <row r="13">
          <cell r="B13" t="str">
            <v>FC-102P7K5 Freq.regelaar 7,5kW 16A (IP55)</v>
          </cell>
        </row>
        <row r="14">
          <cell r="B14" t="str">
            <v>FC-102P11K Freq.regelaar 11,0kW 24A (IP55)</v>
          </cell>
        </row>
        <row r="15">
          <cell r="B15" t="str">
            <v>FC-102P15K Freq.regelaar 15,0kW 32A (IP55)</v>
          </cell>
        </row>
        <row r="16">
          <cell r="B16" t="str">
            <v>FC-102P18K Freq.regelaar 18,5kW 37,5A (IP55)</v>
          </cell>
        </row>
        <row r="17">
          <cell r="B17" t="str">
            <v>FC-102P22K Freq.regelaar 22,0kW 44A (IP55)</v>
          </cell>
        </row>
        <row r="18">
          <cell r="B18" t="str">
            <v>FC-102P30K Freq.regelaar 30,0kW 61A (IP55)</v>
          </cell>
        </row>
        <row r="19">
          <cell r="B19" t="str">
            <v>FC-102P37K Freq.regelaar 37,0kW 73 (IP55)</v>
          </cell>
        </row>
        <row r="20">
          <cell r="B20" t="str">
            <v>FC-102P45K Freq.regelaar 45,0kW 90A (IP55)</v>
          </cell>
        </row>
        <row r="21">
          <cell r="B21" t="str">
            <v>FC-102P55K Freq.regelaar 55,0kW 106A (IP55)</v>
          </cell>
        </row>
        <row r="22">
          <cell r="B22" t="str">
            <v>---------	Danfoss Frequentieregelaars (i.c.m. Sinus Filter) --------</v>
          </cell>
        </row>
        <row r="23">
          <cell r="B23" t="str">
            <v>FC-102P2K2 Freq.regelaar 2,2kW 5,6A (IP20)</v>
          </cell>
        </row>
        <row r="24">
          <cell r="B24" t="str">
            <v>FC-102P3K0 Freq.regelaar 3,0kW 7,2A (IP20)</v>
          </cell>
        </row>
        <row r="25">
          <cell r="B25" t="str">
            <v>FC-102P4K0 Freq.regelaar 4,0kW 10A (IP20)</v>
          </cell>
        </row>
        <row r="26">
          <cell r="B26" t="str">
            <v>FC-102P5K5 Freq.regelaar 5,5kW 13A (IP20)</v>
          </cell>
        </row>
        <row r="27">
          <cell r="B27" t="str">
            <v>FC-102P7K5 Freq.regelaar 7,5kW 16A (IP20)</v>
          </cell>
        </row>
        <row r="28">
          <cell r="B28" t="str">
            <v>FC-102P11K Freq.regelaar 11,0kW 24A (IP20)</v>
          </cell>
        </row>
        <row r="29">
          <cell r="B29" t="str">
            <v>FC-102P15K Freq.regelaar 15,0kW 32A (IP20)</v>
          </cell>
        </row>
        <row r="30">
          <cell r="B30" t="str">
            <v>FC-102P18K Freq.regelaar 18,5kW 37,5A (IP20)</v>
          </cell>
        </row>
        <row r="31">
          <cell r="B31" t="str">
            <v>FC-102P22K Freq.regelaar 22,0kW 44A (IP20)</v>
          </cell>
        </row>
        <row r="32">
          <cell r="B32" t="str">
            <v>FC-102P30K Freq.regelaar 30,0kW 61A (IP20)</v>
          </cell>
        </row>
        <row r="33">
          <cell r="B33" t="str">
            <v>FC-102P37K Freq.regelaar 37,0kW 73A (IP20)</v>
          </cell>
        </row>
        <row r="34">
          <cell r="B34" t="str">
            <v>FC-102P45K Freq.regelaar 45,0kW 90A (IP20)</v>
          </cell>
        </row>
        <row r="35">
          <cell r="B35" t="str">
            <v>FC-102P55K Freq.regelaar 55,0kW 106A (IP20)</v>
          </cell>
        </row>
        <row r="36">
          <cell r="B36" t="str">
            <v>---------	Danfoss Sinus filter --------</v>
          </cell>
        </row>
        <row r="37">
          <cell r="B37" t="str">
            <v>Sinus Filter MCC101, 400V,  4,5A/50Hz, 4A/60Hz</v>
          </cell>
        </row>
        <row r="38">
          <cell r="B38" t="str">
            <v>Sinus Filter MCC101, 400V,  8,0A/50Hz, 7,5A/60Hz</v>
          </cell>
        </row>
        <row r="39">
          <cell r="B39" t="str">
            <v>Sinus Filter MCC101, 400V,  10,0A/50Hz, 9,5A/60Hz</v>
          </cell>
        </row>
        <row r="40">
          <cell r="B40" t="str">
            <v>Sinus Filter MCC101, 400V,  17,0A/50Hz, 15,6A/60Hz</v>
          </cell>
        </row>
        <row r="41">
          <cell r="B41" t="str">
            <v>Sinus Filter MCC101, 400V,  24,0A/50Hz, 23,0A/60Hz</v>
          </cell>
        </row>
        <row r="42">
          <cell r="B42" t="str">
            <v>Sinus Filter MCC101, 400V,  38,0A/50Hz, 36,0A/60Hz</v>
          </cell>
        </row>
        <row r="43">
          <cell r="B43" t="str">
            <v>Sinus Filter MCC101, 400V,  48,0A/50Hz, 45,5A/60Hz</v>
          </cell>
        </row>
        <row r="44">
          <cell r="B44" t="str">
            <v>Sinus Filter MCC101, 400V,  62,0A/50Hz, 59,0A/60Hz</v>
          </cell>
        </row>
        <row r="45">
          <cell r="B45" t="str">
            <v>Sinus Filter MCC101, 400V,  75,0A/50Hz, 71,0A/60Hz</v>
          </cell>
        </row>
        <row r="46">
          <cell r="B46" t="str">
            <v>Sinus Filter MCC101, 400V,  115,0A/50Hz, 109,0A/60Hz</v>
          </cell>
        </row>
        <row r="47">
          <cell r="B47" t="str">
            <v>---------	Danfoss Common Mode Filter --------</v>
          </cell>
        </row>
        <row r="48">
          <cell r="B48" t="str">
            <v>Common Mode Filter MCC 105, VLT Frame A + B</v>
          </cell>
        </row>
        <row r="49">
          <cell r="B49" t="str">
            <v>Common Mode Filter MCC 105, VLT Frame C1</v>
          </cell>
        </row>
        <row r="50">
          <cell r="B50" t="str">
            <v>Common Mode Filter MCC 105, VLT Frame C2, C3, C4</v>
          </cell>
        </row>
        <row r="51">
          <cell r="B51" t="str">
            <v>Common Mode Filter MCC 105, VLT Frame D</v>
          </cell>
        </row>
        <row r="52">
          <cell r="B52" t="str">
            <v>Common Mode Filter MCC 105, VLT Frame E + F</v>
          </cell>
        </row>
        <row r="53">
          <cell r="B53" t="str">
            <v>---------	Danfoss Frequentieregelaars (i.c.m. All Mode Filter) --------</v>
          </cell>
        </row>
        <row r="54">
          <cell r="B54" t="str">
            <v>FC-102P2K2 Freq.regelaar 2,2kW 5,6A met rem (IP20)</v>
          </cell>
        </row>
        <row r="55">
          <cell r="B55" t="str">
            <v xml:space="preserve">FC-102P3K0 Freq.regelaar 3,0kW 7,2A met rem (IP20) </v>
          </cell>
        </row>
        <row r="56">
          <cell r="B56" t="str">
            <v xml:space="preserve">FC-102P4K0 Freq.regelaar 4,0kW 10A met rem (IP20) </v>
          </cell>
        </row>
        <row r="57">
          <cell r="B57" t="str">
            <v xml:space="preserve">FC-102P5K5 Freq.regelaar 5,5kW 13A met rem (IP20) </v>
          </cell>
        </row>
        <row r="58">
          <cell r="B58" t="str">
            <v xml:space="preserve">FC-102P7K5 Freq.regelaar 7,5kW 16A met rem (IP20) </v>
          </cell>
        </row>
        <row r="59">
          <cell r="B59" t="str">
            <v xml:space="preserve">FC-102P11K Freq.regelaar 11,0kW 24A met rem (IP20) </v>
          </cell>
        </row>
        <row r="60">
          <cell r="B60" t="str">
            <v xml:space="preserve">FC-102P15K Freq.regelaar 15,0kW 32Amet rem (IP20) </v>
          </cell>
        </row>
        <row r="61">
          <cell r="B61" t="str">
            <v xml:space="preserve">FC-102P18K Freq.regelaar 18,5kW 37,5A met rem (IP20) </v>
          </cell>
        </row>
        <row r="62">
          <cell r="B62" t="str">
            <v xml:space="preserve">FC-102P22K Freq.regelaar 22,0kW 44A met rem (IP20) </v>
          </cell>
        </row>
        <row r="63">
          <cell r="B63" t="str">
            <v xml:space="preserve">FC-102P30K Freq.regelaar 30,0kW 61A met rem (IP20) </v>
          </cell>
        </row>
        <row r="64">
          <cell r="B64" t="str">
            <v>---------	Danfoss All Mode filter --------</v>
          </cell>
        </row>
        <row r="65">
          <cell r="B65" t="str">
            <v>All-mode Filter MCC 201, 380-400/500V, 6A</v>
          </cell>
        </row>
        <row r="66">
          <cell r="B66" t="str">
            <v>All-mode Filter MCC 201, 380-400/500V, 13A</v>
          </cell>
        </row>
        <row r="67">
          <cell r="B67" t="str">
            <v>All-mode Filter MCC 201, 380-400/500V, 24A</v>
          </cell>
        </row>
        <row r="68">
          <cell r="B68" t="str">
            <v>All-mode Filter MCC 201, 380-400/500V, 46A</v>
          </cell>
        </row>
        <row r="69">
          <cell r="B69" t="str">
            <v xml:space="preserve">All-mode Filter MCC 201, 380-400/500V, 65A </v>
          </cell>
        </row>
        <row r="70">
          <cell r="B70" t="str">
            <v>Vrij invulbare velden</v>
          </cell>
        </row>
        <row r="71">
          <cell r="B71" t="str">
            <v>..</v>
          </cell>
        </row>
        <row r="72">
          <cell r="B72" t="str">
            <v>..</v>
          </cell>
        </row>
        <row r="73">
          <cell r="B73" t="str">
            <v>..</v>
          </cell>
        </row>
        <row r="74">
          <cell r="B74" t="str">
            <v>..</v>
          </cell>
        </row>
        <row r="75">
          <cell r="B75" t="str">
            <v>..</v>
          </cell>
        </row>
        <row r="76">
          <cell r="B76" t="str">
            <v>..</v>
          </cell>
        </row>
        <row r="77">
          <cell r="B77" t="str">
            <v>..</v>
          </cell>
        </row>
      </sheetData>
      <sheetData sheetId="27"/>
      <sheetData sheetId="28">
        <row r="6">
          <cell r="B6" t="str">
            <v>Alex Ouwehand</v>
          </cell>
        </row>
        <row r="7">
          <cell r="B7" t="str">
            <v>Arnold Baardman</v>
          </cell>
        </row>
        <row r="8">
          <cell r="B8" t="str">
            <v>Ashwien Anandbahadoer</v>
          </cell>
        </row>
        <row r="9">
          <cell r="B9" t="str">
            <v>Dennis Mastenbroek</v>
          </cell>
        </row>
        <row r="10">
          <cell r="B10" t="str">
            <v>Erik Bijlhout</v>
          </cell>
        </row>
        <row r="11">
          <cell r="B11" t="str">
            <v>Henk Pierhagen</v>
          </cell>
        </row>
        <row r="12">
          <cell r="B12" t="str">
            <v>Jarin Tempelman</v>
          </cell>
        </row>
        <row r="13">
          <cell r="B13" t="str">
            <v>Jasper de Bruin</v>
          </cell>
        </row>
        <row r="14">
          <cell r="B14" t="str">
            <v>Johan van Elk</v>
          </cell>
        </row>
        <row r="15">
          <cell r="B15" t="str">
            <v>Jos van Emmerik</v>
          </cell>
        </row>
        <row r="16">
          <cell r="B16" t="str">
            <v>Marcel Plaisier</v>
          </cell>
        </row>
        <row r="17">
          <cell r="B17" t="str">
            <v>Matthijs Noordergraaf</v>
          </cell>
        </row>
        <row r="18">
          <cell r="B18" t="str">
            <v>Nieko Tierie</v>
          </cell>
        </row>
        <row r="19">
          <cell r="B19" t="str">
            <v>Peter Croese</v>
          </cell>
        </row>
        <row r="20">
          <cell r="B20" t="str">
            <v>Ramon Bokhorst</v>
          </cell>
        </row>
        <row r="21">
          <cell r="B21" t="str">
            <v>Rens Post</v>
          </cell>
        </row>
        <row r="22">
          <cell r="B22" t="str">
            <v>Robin de Bakker</v>
          </cell>
        </row>
        <row r="23">
          <cell r="B23" t="str">
            <v>Sjaak Krouwel</v>
          </cell>
        </row>
        <row r="24">
          <cell r="B24" t="str">
            <v>Tim Westerduin</v>
          </cell>
        </row>
        <row r="25">
          <cell r="B25" t="str">
            <v>Tom Jacobs</v>
          </cell>
        </row>
        <row r="26">
          <cell r="B26" t="str">
            <v>Tom Stout</v>
          </cell>
        </row>
        <row r="27">
          <cell r="B27" t="str">
            <v>Willem Ubels</v>
          </cell>
        </row>
      </sheetData>
      <sheetData sheetId="29">
        <row r="24">
          <cell r="C24" t="str">
            <v>M010 DDC hardware VR Priva</v>
          </cell>
        </row>
        <row r="25">
          <cell r="C25" t="str">
            <v xml:space="preserve">M011 DDC hardware NR Priva </v>
          </cell>
        </row>
        <row r="26">
          <cell r="C26" t="str">
            <v>M020 Veldapparatuur VR</v>
          </cell>
        </row>
        <row r="27">
          <cell r="C27" t="str">
            <v>M021 Veldapparatuur NR</v>
          </cell>
        </row>
        <row r="28">
          <cell r="C28" t="str">
            <v>W030 Regelkasten derden</v>
          </cell>
        </row>
        <row r="29">
          <cell r="C29" t="str">
            <v>M031 Regelkast materiaal</v>
          </cell>
        </row>
        <row r="30">
          <cell r="C30" t="str">
            <v>M032 Toerenregelapparatuur</v>
          </cell>
        </row>
        <row r="31">
          <cell r="C31" t="str">
            <v>M033 Montageplaten NR</v>
          </cell>
        </row>
        <row r="32">
          <cell r="C32" t="str">
            <v>M040 Bediening en beheer</v>
          </cell>
        </row>
        <row r="33">
          <cell r="C33" t="str">
            <v>D090 Diversen</v>
          </cell>
        </row>
        <row r="34">
          <cell r="C34" t="str">
            <v>W060 Uren derden</v>
          </cell>
        </row>
      </sheetData>
      <sheetData sheetId="30">
        <row r="866">
          <cell r="E866" t="str">
            <v>Modbus RTU M</v>
          </cell>
          <cell r="F866" t="str">
            <v>RS485-1</v>
          </cell>
        </row>
        <row r="867">
          <cell r="E867" t="str">
            <v>Modbus RTU S</v>
          </cell>
          <cell r="F867" t="str">
            <v>RS485-2</v>
          </cell>
        </row>
        <row r="868">
          <cell r="E868" t="str">
            <v>BACnet MS/TP</v>
          </cell>
          <cell r="F868" t="str">
            <v>RS485-3</v>
          </cell>
        </row>
        <row r="869">
          <cell r="E869" t="str">
            <v>KNX</v>
          </cell>
          <cell r="F869" t="str">
            <v>RS485-4</v>
          </cell>
        </row>
        <row r="870">
          <cell r="E870" t="str">
            <v>Mbus</v>
          </cell>
          <cell r="F870" t="str">
            <v>RS485-5</v>
          </cell>
        </row>
        <row r="871">
          <cell r="E871" t="str">
            <v>BACnet IP Client</v>
          </cell>
          <cell r="F871" t="str">
            <v>RS485-6</v>
          </cell>
        </row>
        <row r="872">
          <cell r="E872" t="str">
            <v>Modbus IP Client</v>
          </cell>
          <cell r="F872" t="str">
            <v>RS485-7</v>
          </cell>
        </row>
        <row r="873">
          <cell r="E873" t="str">
            <v>Modbus IP Server</v>
          </cell>
          <cell r="F873" t="str">
            <v>RS485-8</v>
          </cell>
        </row>
        <row r="874">
          <cell r="E874" t="str">
            <v>Genibus</v>
          </cell>
          <cell r="F874" t="str">
            <v>RS485-9</v>
          </cell>
        </row>
        <row r="875">
          <cell r="E875" t="str">
            <v>Wilo</v>
          </cell>
          <cell r="F875" t="str">
            <v>RS485-10</v>
          </cell>
        </row>
        <row r="876">
          <cell r="E876" t="str">
            <v>Comforte CX</v>
          </cell>
          <cell r="F876" t="str">
            <v>RS232-1</v>
          </cell>
        </row>
        <row r="877">
          <cell r="F877" t="str">
            <v>RS232-2</v>
          </cell>
        </row>
        <row r="878">
          <cell r="F878" t="str">
            <v>RS232-3</v>
          </cell>
        </row>
        <row r="879">
          <cell r="F879" t="str">
            <v>RS232-4</v>
          </cell>
        </row>
        <row r="880">
          <cell r="F880" t="str">
            <v>RS232-5</v>
          </cell>
        </row>
        <row r="881">
          <cell r="F881" t="str">
            <v>RS232-6</v>
          </cell>
        </row>
        <row r="882">
          <cell r="F882" t="str">
            <v>RS232-7</v>
          </cell>
        </row>
        <row r="883">
          <cell r="F883" t="str">
            <v>RS232-8</v>
          </cell>
        </row>
        <row r="884">
          <cell r="F884" t="str">
            <v>RS232-9</v>
          </cell>
        </row>
        <row r="885">
          <cell r="F885" t="str">
            <v>RS232-10</v>
          </cell>
        </row>
        <row r="886">
          <cell r="F886" t="str">
            <v>IP</v>
          </cell>
        </row>
      </sheetData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DDCEE-DE75-4505-AFD1-A9789D586F97}">
  <sheetPr codeName="Blad14">
    <tabColor rgb="FF00FF00"/>
    <pageSetUpPr fitToPage="1"/>
  </sheetPr>
  <dimension ref="A1:AC189"/>
  <sheetViews>
    <sheetView showZeros="0" tabSelected="1" zoomScale="54" zoomScaleNormal="85" workbookViewId="0">
      <pane xSplit="3" ySplit="9" topLeftCell="D107" activePane="bottomRight" state="frozen"/>
      <selection activeCell="H111" sqref="H111"/>
      <selection pane="topRight" activeCell="H111" sqref="H111"/>
      <selection pane="bottomLeft" activeCell="H111" sqref="H111"/>
      <selection pane="bottomRight" activeCell="D11" sqref="D11:Y128"/>
    </sheetView>
  </sheetViews>
  <sheetFormatPr defaultColWidth="9" defaultRowHeight="17.25" x14ac:dyDescent="0.3"/>
  <cols>
    <col min="1" max="1" width="1.625" style="1" customWidth="1"/>
    <col min="2" max="2" width="9.125" style="1" hidden="1" customWidth="1"/>
    <col min="3" max="3" width="9" style="1" hidden="1" customWidth="1"/>
    <col min="4" max="4" width="8.875" style="2" customWidth="1"/>
    <col min="5" max="5" width="35.25" style="1" customWidth="1"/>
    <col min="6" max="6" width="22.125" style="1" customWidth="1"/>
    <col min="7" max="7" width="35.625" style="1" customWidth="1"/>
    <col min="8" max="8" width="36" style="1" customWidth="1"/>
    <col min="9" max="16" width="5.625" style="1" customWidth="1"/>
    <col min="17" max="17" width="16.125" style="1" customWidth="1"/>
    <col min="18" max="18" width="8.5" style="1" customWidth="1"/>
    <col min="19" max="19" width="4.25" style="94" hidden="1" customWidth="1"/>
    <col min="20" max="20" width="4.25" style="95" hidden="1" customWidth="1"/>
    <col min="21" max="21" width="4.25" style="94" hidden="1" customWidth="1"/>
    <col min="22" max="24" width="8.875" style="1" hidden="1" customWidth="1"/>
    <col min="25" max="25" width="20.5" style="3" customWidth="1"/>
    <col min="26" max="26" width="11" style="1" customWidth="1"/>
    <col min="27" max="29" width="5.5" style="1" customWidth="1"/>
    <col min="30" max="16384" width="9" style="1"/>
  </cols>
  <sheetData>
    <row r="1" spans="1:29" x14ac:dyDescent="0.3">
      <c r="B1" s="2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5"/>
      <c r="U1" s="4"/>
      <c r="V1" s="3"/>
      <c r="W1" s="3"/>
      <c r="X1" s="3"/>
    </row>
    <row r="2" spans="1:29" x14ac:dyDescent="0.3">
      <c r="B2" s="6"/>
      <c r="C2" s="7"/>
      <c r="D2" s="8" t="s">
        <v>0</v>
      </c>
      <c r="E2" s="9" t="str">
        <f>[1]Specificatie_uren!$E$2</f>
        <v>NB Amarant Kloppend Hart - Tilburg</v>
      </c>
      <c r="F2" s="10"/>
      <c r="G2" s="10"/>
      <c r="H2" s="11"/>
      <c r="I2" s="12"/>
      <c r="J2" s="13"/>
      <c r="K2" s="13"/>
      <c r="L2" s="13"/>
      <c r="M2" s="13"/>
      <c r="N2" s="13"/>
      <c r="O2" s="13"/>
      <c r="P2" s="13"/>
      <c r="Q2" s="13"/>
      <c r="R2" s="14"/>
      <c r="S2" s="15"/>
      <c r="T2" s="16"/>
      <c r="U2" s="17"/>
      <c r="V2" s="18"/>
      <c r="W2" s="19"/>
      <c r="X2" s="20"/>
      <c r="Y2" s="14"/>
    </row>
    <row r="3" spans="1:29" x14ac:dyDescent="0.3">
      <c r="B3" s="21"/>
      <c r="C3" s="22"/>
      <c r="D3" s="8" t="s">
        <v>1</v>
      </c>
      <c r="E3" s="9" t="str">
        <f>[1]Specificatie_uren!$E$3</f>
        <v xml:space="preserve">V26-0899-1A </v>
      </c>
      <c r="F3" s="10"/>
      <c r="G3" s="10"/>
      <c r="H3" s="10"/>
      <c r="I3" s="23"/>
      <c r="J3" s="24"/>
      <c r="K3" s="25"/>
      <c r="L3" s="25"/>
      <c r="M3" s="25"/>
      <c r="N3" s="25"/>
      <c r="O3" s="13"/>
      <c r="P3" s="13"/>
      <c r="Q3" s="10"/>
      <c r="R3" s="26"/>
      <c r="S3" s="27"/>
      <c r="T3" s="28"/>
      <c r="U3" s="29"/>
      <c r="V3" s="30"/>
      <c r="W3" s="31"/>
      <c r="X3" s="32"/>
      <c r="Y3" s="33" t="s">
        <v>2</v>
      </c>
    </row>
    <row r="4" spans="1:29" x14ac:dyDescent="0.3">
      <c r="B4" s="21"/>
      <c r="C4" s="22"/>
      <c r="D4" s="8" t="s">
        <v>3</v>
      </c>
      <c r="E4" s="34" t="str">
        <f>[1]Specificatie_uren!$B$57</f>
        <v>RK01</v>
      </c>
      <c r="F4" s="10"/>
      <c r="G4" s="10"/>
      <c r="H4" s="35"/>
      <c r="I4" s="23"/>
      <c r="J4" s="24"/>
      <c r="K4" s="25"/>
      <c r="L4" s="25"/>
      <c r="M4" s="25"/>
      <c r="N4" s="25"/>
      <c r="O4" s="13"/>
      <c r="P4" s="13"/>
      <c r="Q4" s="10"/>
      <c r="R4" s="26"/>
      <c r="S4" s="27"/>
      <c r="T4" s="28"/>
      <c r="U4" s="29"/>
      <c r="V4" s="30"/>
      <c r="W4" s="31"/>
      <c r="X4" s="32"/>
      <c r="Y4" s="36" t="s">
        <v>4</v>
      </c>
    </row>
    <row r="5" spans="1:29" hidden="1" x14ac:dyDescent="0.3">
      <c r="B5" s="21"/>
      <c r="C5" s="22"/>
      <c r="D5" s="8" t="s">
        <v>5</v>
      </c>
      <c r="E5" s="37">
        <f ca="1">TODAY()</f>
        <v>46204</v>
      </c>
      <c r="F5" s="38"/>
      <c r="G5" s="10"/>
      <c r="H5" s="10"/>
      <c r="I5" s="38"/>
      <c r="J5" s="24"/>
      <c r="K5" s="25"/>
      <c r="L5" s="25"/>
      <c r="M5" s="25"/>
      <c r="N5" s="25"/>
      <c r="O5" s="13"/>
      <c r="P5" s="13"/>
      <c r="Q5" s="10"/>
      <c r="R5" s="26"/>
      <c r="S5" s="27"/>
      <c r="T5" s="28"/>
      <c r="U5" s="29"/>
      <c r="V5" s="39"/>
      <c r="W5" s="31"/>
      <c r="X5" s="32"/>
      <c r="Y5" s="36" t="s">
        <v>4</v>
      </c>
    </row>
    <row r="6" spans="1:29" hidden="1" x14ac:dyDescent="0.3">
      <c r="B6" s="21"/>
      <c r="C6" s="40"/>
      <c r="D6" s="10"/>
      <c r="E6" s="41"/>
      <c r="F6" s="11"/>
      <c r="G6" s="11"/>
      <c r="H6" s="11"/>
      <c r="I6" s="13"/>
      <c r="J6" s="13"/>
      <c r="K6" s="13"/>
      <c r="L6" s="13"/>
      <c r="M6" s="13"/>
      <c r="N6" s="13"/>
      <c r="O6" s="13"/>
      <c r="P6" s="13"/>
      <c r="Q6" s="13"/>
      <c r="R6" s="14"/>
      <c r="S6" s="42"/>
      <c r="T6" s="43"/>
      <c r="U6" s="44"/>
      <c r="V6" s="45"/>
      <c r="W6" s="46"/>
      <c r="X6" s="47"/>
      <c r="Y6" s="36" t="s">
        <v>6</v>
      </c>
    </row>
    <row r="7" spans="1:29" x14ac:dyDescent="0.3">
      <c r="A7" s="48"/>
      <c r="B7" s="138" t="s">
        <v>7</v>
      </c>
      <c r="C7" s="139"/>
      <c r="D7" s="49"/>
      <c r="E7" s="49"/>
      <c r="F7" s="49"/>
      <c r="G7" s="49"/>
      <c r="H7" s="49"/>
      <c r="I7" s="140"/>
      <c r="J7" s="141"/>
      <c r="K7" s="141"/>
      <c r="L7" s="141"/>
      <c r="M7" s="141"/>
      <c r="N7" s="141"/>
      <c r="O7" s="141"/>
      <c r="P7" s="141"/>
      <c r="Q7" s="50"/>
      <c r="R7" s="51"/>
      <c r="S7" s="142" t="s">
        <v>8</v>
      </c>
      <c r="T7" s="143"/>
      <c r="U7" s="144"/>
      <c r="V7" s="145" t="s">
        <v>9</v>
      </c>
      <c r="W7" s="143"/>
      <c r="X7" s="144"/>
      <c r="Y7" s="36" t="s">
        <v>6</v>
      </c>
    </row>
    <row r="8" spans="1:29" ht="15" customHeight="1" x14ac:dyDescent="0.3">
      <c r="A8" s="1" t="s">
        <v>332</v>
      </c>
      <c r="B8" s="52"/>
      <c r="C8" s="49"/>
      <c r="D8" s="49" t="s">
        <v>10</v>
      </c>
      <c r="E8" s="49" t="s">
        <v>11</v>
      </c>
      <c r="F8" s="49" t="s">
        <v>12</v>
      </c>
      <c r="G8" s="49" t="s">
        <v>13</v>
      </c>
      <c r="H8" s="49" t="str">
        <f>"Regelkast" &amp; IF(OR([1]Specificatie_uren!O10="Nieuwbouw",[1]Specificatie_uren!O10="Vervanging"), " (h x b x d)",)</f>
        <v>Regelkast (h x b x d)</v>
      </c>
      <c r="I8" s="53" t="s">
        <v>14</v>
      </c>
      <c r="J8" s="53" t="s">
        <v>15</v>
      </c>
      <c r="K8" s="53" t="s">
        <v>16</v>
      </c>
      <c r="L8" s="53" t="s">
        <v>17</v>
      </c>
      <c r="M8" s="53" t="s">
        <v>18</v>
      </c>
      <c r="N8" s="53" t="s">
        <v>19</v>
      </c>
      <c r="O8" s="53" t="s">
        <v>20</v>
      </c>
      <c r="P8" s="53" t="s">
        <v>21</v>
      </c>
      <c r="Q8" s="53" t="s">
        <v>22</v>
      </c>
      <c r="R8" s="54" t="s">
        <v>23</v>
      </c>
      <c r="S8" s="55" t="s">
        <v>24</v>
      </c>
      <c r="T8" s="56" t="s">
        <v>25</v>
      </c>
      <c r="U8" s="57" t="s">
        <v>26</v>
      </c>
      <c r="V8" s="58" t="s">
        <v>27</v>
      </c>
      <c r="W8" s="59" t="s">
        <v>28</v>
      </c>
      <c r="X8" s="60" t="s">
        <v>29</v>
      </c>
      <c r="Y8" s="36" t="s">
        <v>30</v>
      </c>
    </row>
    <row r="9" spans="1:29" ht="15" customHeight="1" x14ac:dyDescent="0.3">
      <c r="B9" s="61" t="s">
        <v>31</v>
      </c>
      <c r="C9" s="62" t="s">
        <v>32</v>
      </c>
      <c r="D9" s="63"/>
      <c r="E9" s="63" t="s">
        <v>33</v>
      </c>
      <c r="F9" s="64" t="s">
        <v>34</v>
      </c>
      <c r="G9" s="63"/>
      <c r="H9" s="63" t="str">
        <f>IF([1]Specificatie_uren!O82=1,[1]Regelkast!N290,)</f>
        <v>1800 x 1200 x 400 mm  - 40 A</v>
      </c>
      <c r="I9" s="65">
        <f t="shared" ref="I9:P9" si="0">SUM(I10:I1074)</f>
        <v>48</v>
      </c>
      <c r="J9" s="65">
        <f t="shared" si="0"/>
        <v>13</v>
      </c>
      <c r="K9" s="65">
        <f t="shared" si="0"/>
        <v>1</v>
      </c>
      <c r="L9" s="65">
        <f t="shared" si="0"/>
        <v>26</v>
      </c>
      <c r="M9" s="65">
        <f t="shared" si="0"/>
        <v>6</v>
      </c>
      <c r="N9" s="65">
        <f t="shared" si="0"/>
        <v>0</v>
      </c>
      <c r="O9" s="65">
        <f t="shared" si="0"/>
        <v>135</v>
      </c>
      <c r="P9" s="65">
        <f t="shared" si="0"/>
        <v>42</v>
      </c>
      <c r="Q9" s="65">
        <f>SUM(Q10:Q1109)</f>
        <v>0</v>
      </c>
      <c r="R9" s="66"/>
      <c r="S9" s="67" t="s">
        <v>35</v>
      </c>
      <c r="T9" s="68" t="s">
        <v>36</v>
      </c>
      <c r="U9" s="69" t="s">
        <v>37</v>
      </c>
      <c r="V9" s="70"/>
      <c r="W9" s="70"/>
      <c r="X9" s="70"/>
      <c r="Y9" s="36" t="s">
        <v>38</v>
      </c>
    </row>
    <row r="10" spans="1:29" s="71" customFormat="1" x14ac:dyDescent="0.3">
      <c r="B10" s="72"/>
      <c r="D10" s="2"/>
      <c r="E10" s="2"/>
      <c r="F10" s="2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4"/>
      <c r="T10" s="75"/>
      <c r="U10" s="74"/>
      <c r="V10" s="73"/>
      <c r="W10" s="73"/>
      <c r="X10" s="73"/>
      <c r="Y10" s="73"/>
      <c r="Z10" s="1"/>
    </row>
    <row r="11" spans="1:29" s="71" customFormat="1" x14ac:dyDescent="0.3">
      <c r="B11" s="72"/>
      <c r="D11" s="72"/>
      <c r="E11" s="76" t="s">
        <v>39</v>
      </c>
      <c r="F11" s="77"/>
      <c r="G11" s="77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4"/>
      <c r="T11" s="75"/>
      <c r="U11" s="78"/>
      <c r="Y11" s="73"/>
    </row>
    <row r="12" spans="1:29" s="71" customFormat="1" x14ac:dyDescent="0.3">
      <c r="B12" s="72">
        <v>611</v>
      </c>
      <c r="C12" s="71" t="s">
        <v>40</v>
      </c>
      <c r="D12" s="79">
        <v>1</v>
      </c>
      <c r="E12" s="2" t="s">
        <v>41</v>
      </c>
      <c r="F12" s="2" t="s">
        <v>42</v>
      </c>
      <c r="G12" s="71" t="s">
        <v>43</v>
      </c>
      <c r="H12" s="71" t="s">
        <v>44</v>
      </c>
      <c r="I12" s="73">
        <f>ROUND($D12*1,)</f>
        <v>1</v>
      </c>
      <c r="J12" s="73">
        <f>ROUND($D12*1,)</f>
        <v>1</v>
      </c>
      <c r="K12" s="72"/>
      <c r="L12" s="73"/>
      <c r="M12" s="73"/>
      <c r="N12" s="73"/>
      <c r="O12" s="73"/>
      <c r="P12" s="73"/>
      <c r="Q12" s="73"/>
      <c r="R12" s="73"/>
      <c r="S12" s="74"/>
      <c r="T12" s="75"/>
      <c r="U12" s="78"/>
      <c r="Y12" s="73" t="s">
        <v>45</v>
      </c>
      <c r="AA12" s="80">
        <f t="shared" ref="AA12:AA15" si="1">IFERROR(IF(Y12="M",I12+J12+K12+L12+M12+N12,),0)</f>
        <v>2</v>
      </c>
      <c r="AB12" s="80">
        <f t="shared" ref="AB12:AB15" si="2">IFERROR(IF(Y12="KS",I12+J12+K12+L12+M12+N12,),0)</f>
        <v>0</v>
      </c>
      <c r="AC12" s="80">
        <f t="shared" ref="AC12:AC15" si="3">IFERROR(IF(Y12="KM",I12+J12+K12+L12+M12+N12,),0)</f>
        <v>0</v>
      </c>
    </row>
    <row r="13" spans="1:29" s="71" customFormat="1" x14ac:dyDescent="0.3">
      <c r="B13" s="72">
        <v>611</v>
      </c>
      <c r="C13" s="71" t="s">
        <v>46</v>
      </c>
      <c r="D13" s="79">
        <v>1</v>
      </c>
      <c r="E13" s="2" t="s">
        <v>47</v>
      </c>
      <c r="F13" s="2" t="s">
        <v>42</v>
      </c>
      <c r="G13" s="71" t="s">
        <v>43</v>
      </c>
      <c r="H13" s="71" t="s">
        <v>44</v>
      </c>
      <c r="I13" s="73">
        <f>ROUND($D13*1,)</f>
        <v>1</v>
      </c>
      <c r="J13" s="73">
        <v>1</v>
      </c>
      <c r="K13" s="72"/>
      <c r="L13" s="73"/>
      <c r="M13" s="73"/>
      <c r="N13" s="73"/>
      <c r="O13" s="73"/>
      <c r="P13" s="73"/>
      <c r="Q13" s="73"/>
      <c r="R13" s="73"/>
      <c r="S13" s="74"/>
      <c r="T13" s="75"/>
      <c r="U13" s="78"/>
      <c r="Y13" s="73" t="s">
        <v>45</v>
      </c>
      <c r="AA13" s="80">
        <f t="shared" si="1"/>
        <v>2</v>
      </c>
      <c r="AB13" s="80">
        <f t="shared" si="2"/>
        <v>0</v>
      </c>
      <c r="AC13" s="80">
        <f t="shared" si="3"/>
        <v>0</v>
      </c>
    </row>
    <row r="14" spans="1:29" s="71" customFormat="1" x14ac:dyDescent="0.3">
      <c r="B14" s="72">
        <v>611</v>
      </c>
      <c r="C14" s="71" t="s">
        <v>48</v>
      </c>
      <c r="D14" s="79">
        <v>1</v>
      </c>
      <c r="E14" s="2" t="s">
        <v>49</v>
      </c>
      <c r="F14" s="2" t="s">
        <v>42</v>
      </c>
      <c r="G14" s="71" t="s">
        <v>43</v>
      </c>
      <c r="H14" s="71" t="s">
        <v>44</v>
      </c>
      <c r="I14" s="73">
        <f>ROUND($D14*1,)</f>
        <v>1</v>
      </c>
      <c r="J14" s="73">
        <f>ROUND($D14*1,)</f>
        <v>1</v>
      </c>
      <c r="K14" s="72"/>
      <c r="L14" s="73"/>
      <c r="M14" s="73"/>
      <c r="N14" s="73"/>
      <c r="O14" s="73"/>
      <c r="P14" s="73"/>
      <c r="Q14" s="73"/>
      <c r="R14" s="73"/>
      <c r="S14" s="74"/>
      <c r="T14" s="75"/>
      <c r="U14" s="78"/>
      <c r="Y14" s="73" t="s">
        <v>45</v>
      </c>
      <c r="AA14" s="80">
        <f t="shared" si="1"/>
        <v>2</v>
      </c>
      <c r="AB14" s="80">
        <f t="shared" si="2"/>
        <v>0</v>
      </c>
      <c r="AC14" s="80">
        <f t="shared" si="3"/>
        <v>0</v>
      </c>
    </row>
    <row r="15" spans="1:29" s="71" customFormat="1" x14ac:dyDescent="0.3">
      <c r="B15" s="72">
        <v>611</v>
      </c>
      <c r="C15" s="71" t="s">
        <v>50</v>
      </c>
      <c r="D15" s="79">
        <v>1</v>
      </c>
      <c r="E15" s="2" t="s">
        <v>51</v>
      </c>
      <c r="F15" s="2" t="s">
        <v>42</v>
      </c>
      <c r="G15" s="71" t="s">
        <v>43</v>
      </c>
      <c r="H15" s="71" t="s">
        <v>44</v>
      </c>
      <c r="I15" s="73">
        <f>ROUND($D15*1,)</f>
        <v>1</v>
      </c>
      <c r="J15" s="73">
        <v>1</v>
      </c>
      <c r="K15" s="72"/>
      <c r="L15" s="73"/>
      <c r="M15" s="73"/>
      <c r="N15" s="73"/>
      <c r="O15" s="73"/>
      <c r="P15" s="73"/>
      <c r="Q15" s="73"/>
      <c r="R15" s="73"/>
      <c r="S15" s="74"/>
      <c r="T15" s="75"/>
      <c r="U15" s="78"/>
      <c r="Y15" s="73" t="s">
        <v>45</v>
      </c>
      <c r="AA15" s="80">
        <f t="shared" si="1"/>
        <v>2</v>
      </c>
      <c r="AB15" s="80">
        <f t="shared" si="2"/>
        <v>0</v>
      </c>
      <c r="AC15" s="80">
        <f t="shared" si="3"/>
        <v>0</v>
      </c>
    </row>
    <row r="16" spans="1:29" s="71" customFormat="1" x14ac:dyDescent="0.3">
      <c r="B16" s="72"/>
      <c r="D16" s="79"/>
      <c r="E16" s="2"/>
      <c r="F16" s="2"/>
      <c r="I16" s="73"/>
      <c r="J16" s="73"/>
      <c r="K16" s="72"/>
      <c r="L16" s="73"/>
      <c r="M16" s="73"/>
      <c r="N16" s="73"/>
      <c r="O16" s="73"/>
      <c r="P16" s="73"/>
      <c r="Q16" s="73"/>
      <c r="R16" s="73"/>
      <c r="S16" s="74"/>
      <c r="T16" s="75"/>
      <c r="U16" s="78"/>
      <c r="Y16" s="73"/>
      <c r="AA16" s="80"/>
      <c r="AB16" s="80"/>
      <c r="AC16" s="80"/>
    </row>
    <row r="17" spans="2:29" s="71" customFormat="1" x14ac:dyDescent="0.3">
      <c r="B17" s="72">
        <v>601</v>
      </c>
      <c r="C17" s="71" t="s">
        <v>52</v>
      </c>
      <c r="D17" s="79">
        <v>1</v>
      </c>
      <c r="E17" s="2" t="s">
        <v>53</v>
      </c>
      <c r="F17" s="2" t="s">
        <v>54</v>
      </c>
      <c r="G17" s="71" t="s">
        <v>55</v>
      </c>
      <c r="I17" s="73"/>
      <c r="J17" s="73"/>
      <c r="K17" s="73"/>
      <c r="L17" s="73">
        <f>ROUND($D17*1,)</f>
        <v>1</v>
      </c>
      <c r="M17" s="73"/>
      <c r="N17" s="73"/>
      <c r="O17" s="73"/>
      <c r="P17" s="73"/>
      <c r="Q17" s="73"/>
      <c r="R17" s="73"/>
      <c r="S17" s="74"/>
      <c r="T17" s="75"/>
      <c r="U17" s="78"/>
      <c r="Y17" s="73" t="s">
        <v>45</v>
      </c>
      <c r="AA17" s="80">
        <f>IFERROR(IF(Y17="M",I17+J17+K17+L17+M17+N17,),0)</f>
        <v>1</v>
      </c>
      <c r="AB17" s="80">
        <f>IFERROR(IF(Y17="KS",I17+J17+K17+L17+M17+N17,),0)</f>
        <v>0</v>
      </c>
      <c r="AC17" s="80">
        <f>IFERROR(IF(Y17="KM",I17+J17+K17+L17+M17+N17,),0)</f>
        <v>0</v>
      </c>
    </row>
    <row r="18" spans="2:29" s="71" customFormat="1" x14ac:dyDescent="0.3">
      <c r="B18" s="72">
        <v>601</v>
      </c>
      <c r="C18" s="71" t="s">
        <v>56</v>
      </c>
      <c r="D18" s="79">
        <v>1</v>
      </c>
      <c r="E18" s="2" t="s">
        <v>57</v>
      </c>
      <c r="F18" s="2"/>
      <c r="G18" s="71" t="s">
        <v>58</v>
      </c>
      <c r="I18" s="73"/>
      <c r="J18" s="73"/>
      <c r="K18" s="73"/>
      <c r="L18" s="73">
        <f>ROUND($D18*1,)</f>
        <v>1</v>
      </c>
      <c r="M18" s="73"/>
      <c r="N18" s="73"/>
      <c r="O18" s="73"/>
      <c r="P18" s="73"/>
      <c r="Q18" s="73"/>
      <c r="R18" s="73"/>
      <c r="S18" s="74"/>
      <c r="T18" s="75"/>
      <c r="U18" s="78"/>
      <c r="Y18" s="73" t="s">
        <v>45</v>
      </c>
      <c r="AA18" s="80">
        <f>IFERROR(IF(Y18="M",I18+J18+K18+L18+M18+N18,),0)</f>
        <v>1</v>
      </c>
      <c r="AB18" s="80">
        <f>IFERROR(IF(Y18="KS",I18+J18+K18+L18+M18+N18,),0)</f>
        <v>0</v>
      </c>
      <c r="AC18" s="80">
        <f>IFERROR(IF(Y18="KM",I18+J18+K18+L18+M18+N18,),0)</f>
        <v>0</v>
      </c>
    </row>
    <row r="19" spans="2:29" s="71" customFormat="1" x14ac:dyDescent="0.3">
      <c r="B19" s="72">
        <v>601</v>
      </c>
      <c r="C19" s="71" t="s">
        <v>59</v>
      </c>
      <c r="D19" s="79">
        <v>1</v>
      </c>
      <c r="E19" s="2" t="s">
        <v>60</v>
      </c>
      <c r="F19" s="2"/>
      <c r="G19" s="71" t="s">
        <v>58</v>
      </c>
      <c r="I19" s="73"/>
      <c r="J19" s="73"/>
      <c r="K19" s="73"/>
      <c r="L19" s="73">
        <f>ROUND($D19*1,)</f>
        <v>1</v>
      </c>
      <c r="M19" s="73"/>
      <c r="N19" s="73"/>
      <c r="O19" s="73"/>
      <c r="P19" s="73"/>
      <c r="Q19" s="73"/>
      <c r="R19" s="73"/>
      <c r="S19" s="74"/>
      <c r="T19" s="75"/>
      <c r="U19" s="78"/>
      <c r="Y19" s="73" t="s">
        <v>45</v>
      </c>
      <c r="AA19" s="80">
        <f>IFERROR(IF(Y19="M",I19+J19+K19+L19+M19+N19,),0)</f>
        <v>1</v>
      </c>
      <c r="AB19" s="80">
        <f>IFERROR(IF(Y19="KS",I19+J19+K19+L19+M19+N19,),0)</f>
        <v>0</v>
      </c>
      <c r="AC19" s="80">
        <f>IFERROR(IF(Y19="KM",I19+J19+K19+L19+M19+N19,),0)</f>
        <v>0</v>
      </c>
    </row>
    <row r="20" spans="2:29" s="71" customFormat="1" x14ac:dyDescent="0.3">
      <c r="B20" s="72">
        <v>601</v>
      </c>
      <c r="C20" s="71" t="s">
        <v>61</v>
      </c>
      <c r="D20" s="79">
        <v>1</v>
      </c>
      <c r="E20" s="2" t="s">
        <v>62</v>
      </c>
      <c r="F20" s="2"/>
      <c r="G20" s="71" t="s">
        <v>55</v>
      </c>
      <c r="I20" s="73"/>
      <c r="J20" s="73"/>
      <c r="K20" s="73"/>
      <c r="L20" s="73">
        <f>ROUND($D20*1,)</f>
        <v>1</v>
      </c>
      <c r="M20" s="73"/>
      <c r="N20" s="73"/>
      <c r="O20" s="73"/>
      <c r="P20" s="73"/>
      <c r="Q20" s="73"/>
      <c r="R20" s="73"/>
      <c r="S20" s="74"/>
      <c r="T20" s="75"/>
      <c r="U20" s="78"/>
      <c r="Y20" s="73" t="s">
        <v>45</v>
      </c>
      <c r="AA20" s="80">
        <f t="shared" ref="AA20:AA32" si="4">IFERROR(IF(Y20="M",I20+J20+K20+L20+M20+N20,),0)</f>
        <v>1</v>
      </c>
      <c r="AB20" s="80">
        <f t="shared" ref="AB20:AB32" si="5">IFERROR(IF(Y20="KS",I20+J20+K20+L20+M20+N20,),0)</f>
        <v>0</v>
      </c>
      <c r="AC20" s="80">
        <f t="shared" ref="AC20:AC32" si="6">IFERROR(IF(Y20="KM",I20+J20+K20+L20+M20+N20,),0)</f>
        <v>0</v>
      </c>
    </row>
    <row r="21" spans="2:29" s="71" customFormat="1" x14ac:dyDescent="0.3">
      <c r="B21" s="72">
        <v>601</v>
      </c>
      <c r="C21" s="71" t="s">
        <v>61</v>
      </c>
      <c r="D21" s="79">
        <v>1</v>
      </c>
      <c r="E21" s="2" t="s">
        <v>63</v>
      </c>
      <c r="F21" s="2"/>
      <c r="G21" s="71" t="s">
        <v>55</v>
      </c>
      <c r="I21" s="73"/>
      <c r="J21" s="73"/>
      <c r="K21" s="73"/>
      <c r="L21" s="73">
        <f>ROUND($D21*1,)</f>
        <v>1</v>
      </c>
      <c r="M21" s="73"/>
      <c r="N21" s="73"/>
      <c r="O21" s="73"/>
      <c r="P21" s="73"/>
      <c r="Q21" s="73"/>
      <c r="R21" s="73"/>
      <c r="S21" s="74"/>
      <c r="T21" s="75"/>
      <c r="U21" s="78"/>
      <c r="Y21" s="73" t="s">
        <v>45</v>
      </c>
      <c r="AA21" s="80">
        <f t="shared" si="4"/>
        <v>1</v>
      </c>
      <c r="AB21" s="80">
        <f t="shared" si="5"/>
        <v>0</v>
      </c>
      <c r="AC21" s="80">
        <f t="shared" si="6"/>
        <v>0</v>
      </c>
    </row>
    <row r="22" spans="2:29" s="71" customFormat="1" x14ac:dyDescent="0.3">
      <c r="B22" s="72"/>
      <c r="C22" s="71" t="s">
        <v>64</v>
      </c>
      <c r="D22" s="79">
        <v>1</v>
      </c>
      <c r="E22" s="2" t="s">
        <v>65</v>
      </c>
      <c r="F22" s="2"/>
      <c r="G22" s="71" t="s">
        <v>66</v>
      </c>
      <c r="I22" s="73"/>
      <c r="J22" s="73"/>
      <c r="K22" s="73"/>
      <c r="L22" s="73">
        <f>ROUND($D22*1,)</f>
        <v>1</v>
      </c>
      <c r="M22" s="73"/>
      <c r="N22" s="73"/>
      <c r="O22" s="73"/>
      <c r="P22" s="73"/>
      <c r="Q22" s="73"/>
      <c r="R22" s="73"/>
      <c r="S22" s="74"/>
      <c r="T22" s="75"/>
      <c r="U22" s="78"/>
      <c r="Y22" s="73" t="s">
        <v>45</v>
      </c>
      <c r="AA22" s="80">
        <f t="shared" si="4"/>
        <v>1</v>
      </c>
      <c r="AB22" s="80">
        <f t="shared" si="5"/>
        <v>0</v>
      </c>
      <c r="AC22" s="80">
        <f t="shared" si="6"/>
        <v>0</v>
      </c>
    </row>
    <row r="23" spans="2:29" s="71" customFormat="1" x14ac:dyDescent="0.3">
      <c r="B23" s="72"/>
      <c r="D23" s="79"/>
      <c r="E23" s="2"/>
      <c r="F23" s="2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4"/>
      <c r="T23" s="75"/>
      <c r="U23" s="78"/>
      <c r="Y23" s="73"/>
      <c r="AA23" s="80"/>
      <c r="AB23" s="80"/>
      <c r="AC23" s="80"/>
    </row>
    <row r="24" spans="2:29" s="71" customFormat="1" x14ac:dyDescent="0.3">
      <c r="B24" s="72"/>
      <c r="C24" s="71" t="s">
        <v>67</v>
      </c>
      <c r="D24" s="79">
        <v>1</v>
      </c>
      <c r="E24" s="2" t="s">
        <v>68</v>
      </c>
      <c r="F24" s="2"/>
      <c r="H24" s="2" t="s">
        <v>69</v>
      </c>
      <c r="I24" s="73"/>
      <c r="J24" s="73"/>
      <c r="K24" s="73"/>
      <c r="L24" s="73"/>
      <c r="M24" s="73"/>
      <c r="N24" s="73"/>
      <c r="O24" s="73">
        <v>5</v>
      </c>
      <c r="P24" s="73">
        <v>3</v>
      </c>
      <c r="Q24" s="73" t="s">
        <v>70</v>
      </c>
      <c r="R24" s="73" t="s">
        <v>71</v>
      </c>
      <c r="S24" s="74"/>
      <c r="T24" s="73"/>
      <c r="U24" s="78"/>
      <c r="Y24" s="73"/>
      <c r="Z24" s="81" t="str">
        <f t="shared" ref="Z24" si="7">Q24&amp;R24</f>
        <v>Modbus RTU MRS485-4</v>
      </c>
    </row>
    <row r="25" spans="2:29" s="71" customFormat="1" x14ac:dyDescent="0.3">
      <c r="B25" s="72"/>
      <c r="C25" s="71" t="s">
        <v>72</v>
      </c>
      <c r="D25" s="79">
        <v>1</v>
      </c>
      <c r="E25" s="2" t="s">
        <v>73</v>
      </c>
      <c r="F25" s="2" t="s">
        <v>42</v>
      </c>
      <c r="G25" s="71" t="s">
        <v>43</v>
      </c>
      <c r="H25" s="71" t="s">
        <v>44</v>
      </c>
      <c r="I25" s="73">
        <f>ROUND($D25*1,)</f>
        <v>1</v>
      </c>
      <c r="J25" s="73">
        <f>ROUND($D25*1,)</f>
        <v>1</v>
      </c>
      <c r="K25" s="72"/>
      <c r="L25" s="73"/>
      <c r="M25" s="73"/>
      <c r="N25" s="73"/>
      <c r="O25" s="73"/>
      <c r="P25" s="73"/>
      <c r="Q25" s="73"/>
      <c r="R25" s="73"/>
      <c r="S25" s="74"/>
      <c r="T25" s="75"/>
      <c r="U25" s="78"/>
      <c r="Y25" s="73" t="s">
        <v>74</v>
      </c>
      <c r="AA25" s="80">
        <f t="shared" ref="AA25" si="8">IFERROR(IF(Y25="M",I25+J25+K25+L25+M25+N25,),0)</f>
        <v>0</v>
      </c>
      <c r="AB25" s="80">
        <f t="shared" ref="AB25" si="9">IFERROR(IF(Y25="KS",I25+J25+K25+L25+M25+N25,),0)</f>
        <v>0</v>
      </c>
      <c r="AC25" s="80">
        <f t="shared" ref="AC25" si="10">IFERROR(IF(Y25="KM",I25+J25+K25+L25+M25+N25,),0)</f>
        <v>0</v>
      </c>
    </row>
    <row r="26" spans="2:29" s="71" customFormat="1" x14ac:dyDescent="0.3">
      <c r="B26" s="72"/>
      <c r="C26" s="71" t="s">
        <v>67</v>
      </c>
      <c r="D26" s="79">
        <v>1</v>
      </c>
      <c r="E26" s="2" t="s">
        <v>75</v>
      </c>
      <c r="F26" s="2"/>
      <c r="H26" s="2" t="s">
        <v>69</v>
      </c>
      <c r="I26" s="73"/>
      <c r="J26" s="73"/>
      <c r="K26" s="73"/>
      <c r="L26" s="73"/>
      <c r="M26" s="73"/>
      <c r="N26" s="73"/>
      <c r="O26" s="73">
        <v>5</v>
      </c>
      <c r="P26" s="73">
        <v>3</v>
      </c>
      <c r="Q26" s="73" t="s">
        <v>70</v>
      </c>
      <c r="R26" s="73" t="s">
        <v>71</v>
      </c>
      <c r="S26" s="74"/>
      <c r="T26" s="73"/>
      <c r="U26" s="78"/>
      <c r="Y26" s="73"/>
      <c r="Z26" s="81" t="str">
        <f t="shared" ref="Z26" si="11">Q26&amp;R26</f>
        <v>Modbus RTU MRS485-4</v>
      </c>
    </row>
    <row r="27" spans="2:29" s="71" customFormat="1" x14ac:dyDescent="0.3">
      <c r="B27" s="72"/>
      <c r="C27" s="71" t="s">
        <v>72</v>
      </c>
      <c r="D27" s="79">
        <v>1</v>
      </c>
      <c r="E27" s="2" t="s">
        <v>73</v>
      </c>
      <c r="F27" s="2" t="s">
        <v>42</v>
      </c>
      <c r="G27" s="71" t="s">
        <v>43</v>
      </c>
      <c r="H27" s="71" t="s">
        <v>44</v>
      </c>
      <c r="I27" s="73">
        <f>ROUND($D27*1,)</f>
        <v>1</v>
      </c>
      <c r="J27" s="73">
        <f>ROUND($D27*1,)</f>
        <v>1</v>
      </c>
      <c r="K27" s="72"/>
      <c r="L27" s="73"/>
      <c r="M27" s="73"/>
      <c r="N27" s="73"/>
      <c r="O27" s="73"/>
      <c r="P27" s="73"/>
      <c r="Q27" s="73"/>
      <c r="R27" s="73"/>
      <c r="S27" s="74"/>
      <c r="T27" s="75"/>
      <c r="U27" s="78"/>
      <c r="Y27" s="73" t="s">
        <v>74</v>
      </c>
      <c r="AA27" s="80">
        <f t="shared" ref="AA27" si="12">IFERROR(IF(Y27="M",I27+J27+K27+L27+M27+N27,),0)</f>
        <v>0</v>
      </c>
      <c r="AB27" s="80">
        <f t="shared" ref="AB27" si="13">IFERROR(IF(Y27="KS",I27+J27+K27+L27+M27+N27,),0)</f>
        <v>0</v>
      </c>
      <c r="AC27" s="80">
        <f t="shared" ref="AC27" si="14">IFERROR(IF(Y27="KM",I27+J27+K27+L27+M27+N27,),0)</f>
        <v>0</v>
      </c>
    </row>
    <row r="28" spans="2:29" s="71" customFormat="1" x14ac:dyDescent="0.3">
      <c r="B28" s="72">
        <v>105</v>
      </c>
      <c r="C28" s="71" t="s">
        <v>76</v>
      </c>
      <c r="D28" s="79">
        <v>1</v>
      </c>
      <c r="E28" s="2" t="s">
        <v>77</v>
      </c>
      <c r="F28" s="2"/>
      <c r="G28" s="77"/>
      <c r="H28" s="2" t="s">
        <v>78</v>
      </c>
      <c r="I28" s="73">
        <f>ROUND($D28*1,)</f>
        <v>1</v>
      </c>
      <c r="J28" s="73"/>
      <c r="K28" s="73"/>
      <c r="L28" s="73"/>
      <c r="M28" s="73"/>
      <c r="N28" s="73"/>
      <c r="O28" s="73"/>
      <c r="P28" s="73"/>
      <c r="Q28" s="73"/>
      <c r="R28" s="73"/>
      <c r="S28" s="74"/>
      <c r="T28" s="75">
        <v>230</v>
      </c>
      <c r="U28" s="74">
        <v>10</v>
      </c>
      <c r="Y28" s="73" t="s">
        <v>74</v>
      </c>
      <c r="AA28" s="80">
        <f>IFERROR(IF(Y28="M",I28+J28+K28+L28+M28+N28,),0)</f>
        <v>0</v>
      </c>
      <c r="AB28" s="80">
        <f>IFERROR(IF(Y28="KS",I28+J28+K28+L28+M28+N28,),0)</f>
        <v>0</v>
      </c>
      <c r="AC28" s="80">
        <f>IFERROR(IF(Y28="KM",I28+J28+K28+L28+M28+N28,),0)</f>
        <v>0</v>
      </c>
    </row>
    <row r="29" spans="2:29" s="71" customFormat="1" x14ac:dyDescent="0.3">
      <c r="B29" s="72">
        <v>105</v>
      </c>
      <c r="C29" s="71" t="s">
        <v>79</v>
      </c>
      <c r="D29" s="79">
        <v>1</v>
      </c>
      <c r="E29" s="2" t="s">
        <v>80</v>
      </c>
      <c r="F29" s="2"/>
      <c r="G29" s="71" t="s">
        <v>81</v>
      </c>
      <c r="I29" s="73"/>
      <c r="J29" s="73"/>
      <c r="K29" s="73"/>
      <c r="L29" s="73">
        <f>ROUND($D29*1,)</f>
        <v>1</v>
      </c>
      <c r="M29" s="73"/>
      <c r="N29" s="73"/>
      <c r="O29" s="73"/>
      <c r="P29" s="73"/>
      <c r="Q29" s="73"/>
      <c r="R29" s="73"/>
      <c r="S29" s="74"/>
      <c r="T29" s="75"/>
      <c r="U29" s="78"/>
      <c r="Y29" s="73" t="s">
        <v>74</v>
      </c>
      <c r="AA29" s="80">
        <f>IFERROR(IF(Y29="M",I29+J29+K29+L29+M29+N29,),0)</f>
        <v>0</v>
      </c>
      <c r="AB29" s="80">
        <f>IFERROR(IF(Y29="KS",I29+J29+K29+L29+M29+N29,),0)</f>
        <v>0</v>
      </c>
      <c r="AC29" s="80">
        <f>IFERROR(IF(Y29="KM",I29+J29+K29+L29+M29+N29,),0)</f>
        <v>0</v>
      </c>
    </row>
    <row r="30" spans="2:29" s="71" customFormat="1" x14ac:dyDescent="0.3">
      <c r="B30" s="72">
        <v>601</v>
      </c>
      <c r="C30" s="71" t="s">
        <v>82</v>
      </c>
      <c r="D30" s="79">
        <v>1</v>
      </c>
      <c r="E30" s="2" t="s">
        <v>83</v>
      </c>
      <c r="F30" s="2" t="s">
        <v>84</v>
      </c>
      <c r="I30" s="73"/>
      <c r="J30" s="73"/>
      <c r="K30" s="73"/>
      <c r="L30" s="73"/>
      <c r="M30" s="73"/>
      <c r="N30" s="73"/>
      <c r="O30" s="73">
        <v>5</v>
      </c>
      <c r="P30" s="73"/>
      <c r="Q30" s="73" t="s">
        <v>70</v>
      </c>
      <c r="R30" s="73" t="s">
        <v>85</v>
      </c>
      <c r="S30" s="74"/>
      <c r="T30" s="75"/>
      <c r="U30" s="78"/>
      <c r="Y30" s="73"/>
      <c r="Z30" s="81" t="str">
        <f>Q30&amp;R30</f>
        <v>Modbus RTU MRS485-2</v>
      </c>
    </row>
    <row r="31" spans="2:29" s="71" customFormat="1" x14ac:dyDescent="0.3">
      <c r="B31" s="72"/>
      <c r="D31" s="79"/>
      <c r="E31" s="2"/>
      <c r="F31" s="2"/>
      <c r="G31" s="77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4"/>
      <c r="T31" s="75"/>
      <c r="U31" s="78"/>
      <c r="Y31" s="73"/>
      <c r="AA31" s="80"/>
      <c r="AB31" s="80"/>
      <c r="AC31" s="80"/>
    </row>
    <row r="32" spans="2:29" s="71" customFormat="1" x14ac:dyDescent="0.3">
      <c r="B32" s="72">
        <v>601</v>
      </c>
      <c r="C32" s="71" t="s">
        <v>86</v>
      </c>
      <c r="D32" s="79">
        <v>1</v>
      </c>
      <c r="E32" s="2" t="s">
        <v>87</v>
      </c>
      <c r="F32" s="2" t="s">
        <v>54</v>
      </c>
      <c r="G32" s="71" t="s">
        <v>55</v>
      </c>
      <c r="I32" s="73"/>
      <c r="J32" s="73"/>
      <c r="K32" s="73"/>
      <c r="L32" s="73">
        <f t="shared" ref="L32" si="15">ROUND($D32*1,)</f>
        <v>1</v>
      </c>
      <c r="M32" s="73"/>
      <c r="N32" s="73"/>
      <c r="O32" s="73"/>
      <c r="P32" s="73"/>
      <c r="Q32" s="73"/>
      <c r="R32" s="73"/>
      <c r="S32" s="74"/>
      <c r="T32" s="75"/>
      <c r="U32" s="78"/>
      <c r="Y32" s="73" t="s">
        <v>45</v>
      </c>
      <c r="AA32" s="80">
        <f t="shared" si="4"/>
        <v>1</v>
      </c>
      <c r="AB32" s="80">
        <f t="shared" si="5"/>
        <v>0</v>
      </c>
      <c r="AC32" s="80">
        <f t="shared" si="6"/>
        <v>0</v>
      </c>
    </row>
    <row r="33" spans="2:29" s="71" customFormat="1" x14ac:dyDescent="0.3">
      <c r="B33" s="72">
        <v>601</v>
      </c>
      <c r="C33" s="71" t="s">
        <v>88</v>
      </c>
      <c r="D33" s="79">
        <v>1</v>
      </c>
      <c r="E33" s="2" t="s">
        <v>89</v>
      </c>
      <c r="F33" s="2"/>
      <c r="G33" s="71" t="s">
        <v>58</v>
      </c>
      <c r="I33" s="73"/>
      <c r="J33" s="73"/>
      <c r="K33" s="73"/>
      <c r="L33" s="73">
        <f>ROUND($D33*1,)</f>
        <v>1</v>
      </c>
      <c r="M33" s="73"/>
      <c r="N33" s="73"/>
      <c r="O33" s="73"/>
      <c r="P33" s="73"/>
      <c r="Q33" s="73"/>
      <c r="R33" s="73"/>
      <c r="S33" s="74"/>
      <c r="T33" s="75"/>
      <c r="U33" s="78"/>
      <c r="Y33" s="73" t="s">
        <v>45</v>
      </c>
      <c r="AA33" s="80">
        <f>IFERROR(IF(Y33="M",I33+J33+K33+L33+M33+N33,),0)</f>
        <v>1</v>
      </c>
      <c r="AB33" s="80">
        <f>IFERROR(IF(Y33="KS",I33+J33+K33+L33+M33+N33,),0)</f>
        <v>0</v>
      </c>
      <c r="AC33" s="80">
        <f>IFERROR(IF(Y33="KM",I33+J33+K33+L33+M33+N33,),0)</f>
        <v>0</v>
      </c>
    </row>
    <row r="34" spans="2:29" s="71" customFormat="1" x14ac:dyDescent="0.3">
      <c r="B34" s="72">
        <v>601</v>
      </c>
      <c r="C34" s="71" t="s">
        <v>90</v>
      </c>
      <c r="D34" s="79">
        <v>1</v>
      </c>
      <c r="E34" s="2" t="s">
        <v>91</v>
      </c>
      <c r="F34" s="2"/>
      <c r="G34" s="71" t="s">
        <v>58</v>
      </c>
      <c r="I34" s="73"/>
      <c r="J34" s="73"/>
      <c r="K34" s="73"/>
      <c r="L34" s="73">
        <f>ROUND($D34*1,)</f>
        <v>1</v>
      </c>
      <c r="M34" s="73"/>
      <c r="N34" s="73"/>
      <c r="O34" s="73"/>
      <c r="P34" s="73"/>
      <c r="Q34" s="73"/>
      <c r="R34" s="73"/>
      <c r="S34" s="74"/>
      <c r="T34" s="75"/>
      <c r="U34" s="78"/>
      <c r="Y34" s="73" t="s">
        <v>45</v>
      </c>
      <c r="AA34" s="80">
        <f>IFERROR(IF(Y34="M",I34+J34+K34+L34+M34+N34,),0)</f>
        <v>1</v>
      </c>
      <c r="AB34" s="80">
        <f>IFERROR(IF(Y34="KS",I34+J34+K34+L34+M34+N34,),0)</f>
        <v>0</v>
      </c>
      <c r="AC34" s="80">
        <f>IFERROR(IF(Y34="KM",I34+J34+K34+L34+M34+N34,),0)</f>
        <v>0</v>
      </c>
    </row>
    <row r="35" spans="2:29" s="71" customFormat="1" x14ac:dyDescent="0.3">
      <c r="B35" s="72">
        <v>601</v>
      </c>
      <c r="C35" s="71" t="s">
        <v>92</v>
      </c>
      <c r="D35" s="79">
        <v>1</v>
      </c>
      <c r="E35" s="2" t="s">
        <v>93</v>
      </c>
      <c r="F35" s="2"/>
      <c r="G35" s="71" t="s">
        <v>55</v>
      </c>
      <c r="I35" s="73"/>
      <c r="J35" s="73"/>
      <c r="K35" s="73"/>
      <c r="L35" s="73">
        <f>ROUND($D35*1,)</f>
        <v>1</v>
      </c>
      <c r="M35" s="73"/>
      <c r="N35" s="73"/>
      <c r="O35" s="73"/>
      <c r="P35" s="73"/>
      <c r="Q35" s="73"/>
      <c r="R35" s="73"/>
      <c r="S35" s="74"/>
      <c r="T35" s="75"/>
      <c r="U35" s="78"/>
      <c r="Y35" s="73" t="s">
        <v>45</v>
      </c>
      <c r="AA35" s="80">
        <f>IFERROR(IF(Y35="M",I35+J35+K35+L35+M35+N35,),0)</f>
        <v>1</v>
      </c>
      <c r="AB35" s="80">
        <f>IFERROR(IF(Y35="KS",I35+J35+K35+L35+M35+N35,),0)</f>
        <v>0</v>
      </c>
      <c r="AC35" s="80">
        <f>IFERROR(IF(Y35="KM",I35+J35+K35+L35+M35+N35,),0)</f>
        <v>0</v>
      </c>
    </row>
    <row r="36" spans="2:29" s="71" customFormat="1" x14ac:dyDescent="0.3">
      <c r="B36" s="72">
        <v>601</v>
      </c>
      <c r="C36" s="71" t="s">
        <v>94</v>
      </c>
      <c r="D36" s="79">
        <v>1</v>
      </c>
      <c r="E36" s="2" t="s">
        <v>95</v>
      </c>
      <c r="F36" s="2"/>
      <c r="G36" s="71" t="s">
        <v>55</v>
      </c>
      <c r="I36" s="73"/>
      <c r="J36" s="73"/>
      <c r="K36" s="73"/>
      <c r="L36" s="73">
        <f>ROUND($D36*1,)</f>
        <v>1</v>
      </c>
      <c r="M36" s="73"/>
      <c r="N36" s="73"/>
      <c r="O36" s="73"/>
      <c r="P36" s="73"/>
      <c r="Q36" s="73"/>
      <c r="R36" s="73"/>
      <c r="S36" s="74"/>
      <c r="T36" s="75"/>
      <c r="U36" s="78"/>
      <c r="Y36" s="73" t="s">
        <v>45</v>
      </c>
      <c r="AA36" s="80">
        <f>IFERROR(IF(Y36="M",I36+J36+K36+L36+M36+N36,),0)</f>
        <v>1</v>
      </c>
      <c r="AB36" s="80">
        <f>IFERROR(IF(Y36="KS",I36+J36+K36+L36+M36+N36,),0)</f>
        <v>0</v>
      </c>
      <c r="AC36" s="80">
        <f>IFERROR(IF(Y36="KM",I36+J36+K36+L36+M36+N36,),0)</f>
        <v>0</v>
      </c>
    </row>
    <row r="37" spans="2:29" s="71" customFormat="1" x14ac:dyDescent="0.3">
      <c r="B37" s="72"/>
      <c r="C37" s="71" t="s">
        <v>64</v>
      </c>
      <c r="D37" s="79">
        <v>1</v>
      </c>
      <c r="E37" s="2" t="s">
        <v>65</v>
      </c>
      <c r="F37" s="2"/>
      <c r="G37" s="71" t="s">
        <v>66</v>
      </c>
      <c r="I37" s="73"/>
      <c r="J37" s="73"/>
      <c r="K37" s="73"/>
      <c r="L37" s="73">
        <f>ROUND($D37*1,)</f>
        <v>1</v>
      </c>
      <c r="M37" s="73"/>
      <c r="N37" s="73"/>
      <c r="O37" s="73"/>
      <c r="P37" s="73"/>
      <c r="Q37" s="73"/>
      <c r="R37" s="73"/>
      <c r="S37" s="74"/>
      <c r="T37" s="75"/>
      <c r="U37" s="78"/>
      <c r="Y37" s="73" t="s">
        <v>45</v>
      </c>
      <c r="AA37" s="80">
        <f t="shared" ref="AA37" si="16">IFERROR(IF(Y37="M",I37+J37+K37+L37+M37+N37,),0)</f>
        <v>1</v>
      </c>
      <c r="AB37" s="80">
        <f t="shared" ref="AB37" si="17">IFERROR(IF(Y37="KS",I37+J37+K37+L37+M37+N37,),0)</f>
        <v>0</v>
      </c>
      <c r="AC37" s="80">
        <f t="shared" ref="AC37" si="18">IFERROR(IF(Y37="KM",I37+J37+K37+L37+M37+N37,),0)</f>
        <v>0</v>
      </c>
    </row>
    <row r="38" spans="2:29" s="71" customFormat="1" x14ac:dyDescent="0.3">
      <c r="B38" s="72"/>
      <c r="D38" s="79"/>
      <c r="E38" s="2"/>
      <c r="F38" s="2"/>
      <c r="G38" s="77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4"/>
      <c r="T38" s="75"/>
      <c r="U38" s="78"/>
      <c r="Y38" s="73"/>
      <c r="AA38" s="80"/>
      <c r="AB38" s="80"/>
      <c r="AC38" s="80"/>
    </row>
    <row r="39" spans="2:29" s="71" customFormat="1" x14ac:dyDescent="0.3">
      <c r="B39" s="72"/>
      <c r="C39" s="71" t="s">
        <v>67</v>
      </c>
      <c r="D39" s="79">
        <v>1</v>
      </c>
      <c r="E39" s="2" t="s">
        <v>68</v>
      </c>
      <c r="F39" s="2"/>
      <c r="H39" s="2" t="s">
        <v>69</v>
      </c>
      <c r="I39" s="73"/>
      <c r="J39" s="73"/>
      <c r="K39" s="73"/>
      <c r="L39" s="73"/>
      <c r="M39" s="73"/>
      <c r="N39" s="73"/>
      <c r="O39" s="73">
        <v>5</v>
      </c>
      <c r="P39" s="73">
        <v>3</v>
      </c>
      <c r="Q39" s="73" t="s">
        <v>70</v>
      </c>
      <c r="R39" s="73" t="s">
        <v>71</v>
      </c>
      <c r="S39" s="74"/>
      <c r="T39" s="73"/>
      <c r="U39" s="78"/>
      <c r="Y39" s="73"/>
      <c r="Z39" s="81" t="str">
        <f t="shared" ref="Z39" si="19">Q39&amp;R39</f>
        <v>Modbus RTU MRS485-4</v>
      </c>
    </row>
    <row r="40" spans="2:29" s="71" customFormat="1" x14ac:dyDescent="0.3">
      <c r="B40" s="72"/>
      <c r="C40" s="71" t="s">
        <v>72</v>
      </c>
      <c r="D40" s="79">
        <v>1</v>
      </c>
      <c r="E40" s="2" t="s">
        <v>73</v>
      </c>
      <c r="F40" s="2" t="s">
        <v>42</v>
      </c>
      <c r="G40" s="71" t="s">
        <v>43</v>
      </c>
      <c r="H40" s="71" t="s">
        <v>44</v>
      </c>
      <c r="I40" s="73">
        <f>ROUND($D40*1,)</f>
        <v>1</v>
      </c>
      <c r="J40" s="73">
        <f>ROUND($D40*1,)</f>
        <v>1</v>
      </c>
      <c r="K40" s="72"/>
      <c r="L40" s="73"/>
      <c r="M40" s="73"/>
      <c r="N40" s="73"/>
      <c r="O40" s="73"/>
      <c r="P40" s="73"/>
      <c r="Q40" s="73"/>
      <c r="R40" s="73"/>
      <c r="S40" s="74"/>
      <c r="T40" s="75"/>
      <c r="U40" s="78"/>
      <c r="Y40" s="73" t="s">
        <v>74</v>
      </c>
      <c r="AA40" s="80">
        <f t="shared" ref="AA40" si="20">IFERROR(IF(Y40="M",I40+J40+K40+L40+M40+N40,),0)</f>
        <v>0</v>
      </c>
      <c r="AB40" s="80">
        <f t="shared" ref="AB40" si="21">IFERROR(IF(Y40="KS",I40+J40+K40+L40+M40+N40,),0)</f>
        <v>0</v>
      </c>
      <c r="AC40" s="80">
        <f t="shared" ref="AC40" si="22">IFERROR(IF(Y40="KM",I40+J40+K40+L40+M40+N40,),0)</f>
        <v>0</v>
      </c>
    </row>
    <row r="41" spans="2:29" s="71" customFormat="1" x14ac:dyDescent="0.3">
      <c r="B41" s="72"/>
      <c r="C41" s="71" t="s">
        <v>67</v>
      </c>
      <c r="D41" s="79">
        <v>1</v>
      </c>
      <c r="E41" s="2" t="s">
        <v>75</v>
      </c>
      <c r="F41" s="2"/>
      <c r="H41" s="2" t="s">
        <v>69</v>
      </c>
      <c r="I41" s="73"/>
      <c r="J41" s="73"/>
      <c r="K41" s="73"/>
      <c r="L41" s="73"/>
      <c r="M41" s="73"/>
      <c r="N41" s="73"/>
      <c r="O41" s="73">
        <v>5</v>
      </c>
      <c r="P41" s="73">
        <v>3</v>
      </c>
      <c r="Q41" s="73" t="s">
        <v>70</v>
      </c>
      <c r="R41" s="73" t="s">
        <v>71</v>
      </c>
      <c r="S41" s="74"/>
      <c r="T41" s="73"/>
      <c r="U41" s="78"/>
      <c r="Y41" s="73"/>
      <c r="Z41" s="81" t="str">
        <f t="shared" ref="Z41" si="23">Q41&amp;R41</f>
        <v>Modbus RTU MRS485-4</v>
      </c>
    </row>
    <row r="42" spans="2:29" s="71" customFormat="1" x14ac:dyDescent="0.3">
      <c r="B42" s="72"/>
      <c r="C42" s="71" t="s">
        <v>72</v>
      </c>
      <c r="D42" s="79">
        <v>1</v>
      </c>
      <c r="E42" s="2" t="s">
        <v>73</v>
      </c>
      <c r="F42" s="2" t="s">
        <v>42</v>
      </c>
      <c r="G42" s="71" t="s">
        <v>43</v>
      </c>
      <c r="H42" s="71" t="s">
        <v>44</v>
      </c>
      <c r="I42" s="73">
        <f>ROUND($D42*1,)</f>
        <v>1</v>
      </c>
      <c r="J42" s="73">
        <f>ROUND($D42*1,)</f>
        <v>1</v>
      </c>
      <c r="K42" s="72"/>
      <c r="L42" s="73"/>
      <c r="M42" s="73"/>
      <c r="N42" s="73"/>
      <c r="O42" s="73"/>
      <c r="P42" s="73"/>
      <c r="Q42" s="73"/>
      <c r="R42" s="73"/>
      <c r="S42" s="74"/>
      <c r="T42" s="75"/>
      <c r="U42" s="78"/>
      <c r="Y42" s="73" t="s">
        <v>74</v>
      </c>
      <c r="AA42" s="80">
        <f t="shared" ref="AA42" si="24">IFERROR(IF(Y42="M",I42+J42+K42+L42+M42+N42,),0)</f>
        <v>0</v>
      </c>
      <c r="AB42" s="80">
        <f t="shared" ref="AB42" si="25">IFERROR(IF(Y42="KS",I42+J42+K42+L42+M42+N42,),0)</f>
        <v>0</v>
      </c>
      <c r="AC42" s="80">
        <f t="shared" ref="AC42" si="26">IFERROR(IF(Y42="KM",I42+J42+K42+L42+M42+N42,),0)</f>
        <v>0</v>
      </c>
    </row>
    <row r="43" spans="2:29" s="71" customFormat="1" x14ac:dyDescent="0.3">
      <c r="B43" s="72">
        <v>105</v>
      </c>
      <c r="C43" s="71" t="s">
        <v>76</v>
      </c>
      <c r="D43" s="79">
        <v>1</v>
      </c>
      <c r="E43" s="2" t="s">
        <v>96</v>
      </c>
      <c r="F43" s="2"/>
      <c r="G43" s="77"/>
      <c r="H43" s="2" t="s">
        <v>78</v>
      </c>
      <c r="I43" s="73">
        <f>ROUND($D43*1,)</f>
        <v>1</v>
      </c>
      <c r="J43" s="73"/>
      <c r="K43" s="73"/>
      <c r="L43" s="73"/>
      <c r="M43" s="73"/>
      <c r="N43" s="73"/>
      <c r="O43" s="73"/>
      <c r="P43" s="73"/>
      <c r="Q43" s="73"/>
      <c r="R43" s="73"/>
      <c r="S43" s="74"/>
      <c r="T43" s="75">
        <v>230</v>
      </c>
      <c r="U43" s="74">
        <v>10</v>
      </c>
      <c r="Y43" s="73" t="s">
        <v>74</v>
      </c>
      <c r="AA43" s="80">
        <f>IFERROR(IF(Y43="M",I43+J43+K43+L43+M43+N43,),0)</f>
        <v>0</v>
      </c>
      <c r="AB43" s="80">
        <f>IFERROR(IF(Y43="KS",I43+J43+K43+L43+M43+N43,),0)</f>
        <v>0</v>
      </c>
      <c r="AC43" s="80">
        <f>IFERROR(IF(Y43="KM",I43+J43+K43+L43+M43+N43,),0)</f>
        <v>0</v>
      </c>
    </row>
    <row r="44" spans="2:29" s="71" customFormat="1" x14ac:dyDescent="0.3">
      <c r="B44" s="72">
        <v>105</v>
      </c>
      <c r="C44" s="71" t="s">
        <v>79</v>
      </c>
      <c r="D44" s="79">
        <v>1</v>
      </c>
      <c r="E44" s="2" t="s">
        <v>97</v>
      </c>
      <c r="F44" s="2"/>
      <c r="G44" s="71" t="s">
        <v>81</v>
      </c>
      <c r="I44" s="73"/>
      <c r="J44" s="73"/>
      <c r="K44" s="73"/>
      <c r="L44" s="73">
        <f>ROUND($D44*1,)</f>
        <v>1</v>
      </c>
      <c r="M44" s="73"/>
      <c r="N44" s="73"/>
      <c r="O44" s="73"/>
      <c r="P44" s="73"/>
      <c r="Q44" s="73"/>
      <c r="R44" s="73"/>
      <c r="S44" s="74"/>
      <c r="T44" s="75"/>
      <c r="U44" s="78"/>
      <c r="Y44" s="73" t="s">
        <v>74</v>
      </c>
      <c r="AA44" s="80">
        <f>IFERROR(IF(Y44="M",I44+J44+K44+L44+M44+N44,),0)</f>
        <v>0</v>
      </c>
      <c r="AB44" s="80">
        <f>IFERROR(IF(Y44="KS",I44+J44+K44+L44+M44+N44,),0)</f>
        <v>0</v>
      </c>
      <c r="AC44" s="80">
        <f>IFERROR(IF(Y44="KM",I44+J44+K44+L44+M44+N44,),0)</f>
        <v>0</v>
      </c>
    </row>
    <row r="45" spans="2:29" s="71" customFormat="1" x14ac:dyDescent="0.3">
      <c r="B45" s="72">
        <v>601</v>
      </c>
      <c r="C45" s="71" t="s">
        <v>82</v>
      </c>
      <c r="D45" s="79">
        <v>1</v>
      </c>
      <c r="E45" s="2" t="s">
        <v>83</v>
      </c>
      <c r="F45" s="2" t="s">
        <v>84</v>
      </c>
      <c r="I45" s="73"/>
      <c r="J45" s="73"/>
      <c r="K45" s="73"/>
      <c r="L45" s="73"/>
      <c r="M45" s="73"/>
      <c r="N45" s="73"/>
      <c r="O45" s="73">
        <v>5</v>
      </c>
      <c r="P45" s="73"/>
      <c r="Q45" s="73" t="s">
        <v>70</v>
      </c>
      <c r="R45" s="73" t="s">
        <v>85</v>
      </c>
      <c r="S45" s="74"/>
      <c r="T45" s="75"/>
      <c r="U45" s="78"/>
      <c r="Y45" s="73"/>
      <c r="Z45" s="81" t="str">
        <f>Q45&amp;R45</f>
        <v>Modbus RTU MRS485-2</v>
      </c>
    </row>
    <row r="46" spans="2:29" s="71" customFormat="1" x14ac:dyDescent="0.3">
      <c r="B46" s="72"/>
      <c r="D46" s="79"/>
      <c r="E46" s="2"/>
      <c r="F46" s="2"/>
      <c r="G46" s="77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4"/>
      <c r="T46" s="75"/>
      <c r="U46" s="78"/>
      <c r="Y46" s="73"/>
      <c r="AA46" s="80"/>
      <c r="AB46" s="80"/>
      <c r="AC46" s="80"/>
    </row>
    <row r="47" spans="2:29" s="71" customFormat="1" x14ac:dyDescent="0.3">
      <c r="B47" s="72"/>
      <c r="D47" s="72"/>
      <c r="E47" s="76" t="s">
        <v>98</v>
      </c>
      <c r="F47" s="77"/>
      <c r="G47" s="77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4"/>
      <c r="T47" s="75"/>
      <c r="U47" s="78"/>
      <c r="Y47" s="73"/>
    </row>
    <row r="48" spans="2:29" s="71" customFormat="1" x14ac:dyDescent="0.3">
      <c r="B48" s="72"/>
      <c r="C48" s="71" t="s">
        <v>72</v>
      </c>
      <c r="D48" s="79">
        <v>1</v>
      </c>
      <c r="E48" s="2" t="s">
        <v>99</v>
      </c>
      <c r="F48" s="2" t="s">
        <v>42</v>
      </c>
      <c r="G48" s="71" t="s">
        <v>100</v>
      </c>
      <c r="I48" s="73"/>
      <c r="J48" s="73"/>
      <c r="K48" s="73"/>
      <c r="L48" s="73"/>
      <c r="M48" s="73">
        <f>ROUND($D48*1,)</f>
        <v>1</v>
      </c>
      <c r="N48" s="73"/>
      <c r="O48" s="73"/>
      <c r="P48" s="73"/>
      <c r="Q48" s="73"/>
      <c r="R48" s="73"/>
      <c r="S48" s="74"/>
      <c r="T48" s="75"/>
      <c r="U48" s="78"/>
      <c r="Y48" s="73" t="s">
        <v>74</v>
      </c>
      <c r="AA48" s="80">
        <f t="shared" ref="AA48" si="27">IFERROR(IF(Y48="M",I48+J48+K48+L48+M48+N48,),0)</f>
        <v>0</v>
      </c>
      <c r="AB48" s="80">
        <f t="shared" ref="AB48" si="28">IFERROR(IF(Y48="KS",I48+J48+K48+L48+M48+N48,),0)</f>
        <v>0</v>
      </c>
      <c r="AC48" s="80">
        <f t="shared" ref="AC48" si="29">IFERROR(IF(Y48="KM",I48+J48+K48+L48+M48+N48,),0)</f>
        <v>0</v>
      </c>
    </row>
    <row r="49" spans="2:29" s="71" customFormat="1" x14ac:dyDescent="0.3">
      <c r="B49" s="72"/>
      <c r="C49" s="71" t="s">
        <v>67</v>
      </c>
      <c r="D49" s="79">
        <v>1</v>
      </c>
      <c r="E49" s="2" t="s">
        <v>101</v>
      </c>
      <c r="F49" s="2"/>
      <c r="H49" s="2" t="s">
        <v>69</v>
      </c>
      <c r="I49" s="73"/>
      <c r="J49" s="73"/>
      <c r="K49" s="73"/>
      <c r="L49" s="73"/>
      <c r="M49" s="73"/>
      <c r="N49" s="73"/>
      <c r="O49" s="73">
        <v>5</v>
      </c>
      <c r="P49" s="73">
        <v>3</v>
      </c>
      <c r="Q49" s="73" t="s">
        <v>70</v>
      </c>
      <c r="R49" s="73" t="s">
        <v>71</v>
      </c>
      <c r="S49" s="74"/>
      <c r="T49" s="73"/>
      <c r="U49" s="78"/>
      <c r="Y49" s="73"/>
      <c r="Z49" s="81" t="str">
        <f t="shared" ref="Z49" si="30">Q49&amp;R49</f>
        <v>Modbus RTU MRS485-4</v>
      </c>
    </row>
    <row r="50" spans="2:29" s="71" customFormat="1" x14ac:dyDescent="0.3">
      <c r="B50" s="72">
        <v>111</v>
      </c>
      <c r="C50" s="71" t="s">
        <v>52</v>
      </c>
      <c r="D50" s="79">
        <v>1</v>
      </c>
      <c r="E50" s="2" t="s">
        <v>102</v>
      </c>
      <c r="F50" s="2"/>
      <c r="G50" s="71" t="s">
        <v>55</v>
      </c>
      <c r="I50" s="73"/>
      <c r="J50" s="73"/>
      <c r="K50" s="73"/>
      <c r="L50" s="73">
        <f>ROUND($D50*1,)</f>
        <v>1</v>
      </c>
      <c r="M50" s="73"/>
      <c r="N50" s="73"/>
      <c r="O50" s="73"/>
      <c r="P50" s="73"/>
      <c r="Q50" s="73"/>
      <c r="R50" s="73"/>
      <c r="S50" s="74"/>
      <c r="T50" s="75"/>
      <c r="U50" s="78"/>
      <c r="Y50" s="73" t="s">
        <v>74</v>
      </c>
      <c r="AA50" s="80">
        <f t="shared" ref="AA50:AA51" si="31">IFERROR(IF(Y50="M",I50+J50+K50+L50+M50+N50,),0)</f>
        <v>0</v>
      </c>
      <c r="AB50" s="80">
        <f t="shared" ref="AB50:AB51" si="32">IFERROR(IF(Y50="KS",I50+J50+K50+L50+M50+N50,),0)</f>
        <v>0</v>
      </c>
      <c r="AC50" s="80">
        <f t="shared" ref="AC50:AC51" si="33">IFERROR(IF(Y50="KM",I50+J50+K50+L50+M50+N50,),0)</f>
        <v>0</v>
      </c>
    </row>
    <row r="51" spans="2:29" s="71" customFormat="1" x14ac:dyDescent="0.3">
      <c r="B51" s="72">
        <v>111</v>
      </c>
      <c r="C51" s="71" t="s">
        <v>103</v>
      </c>
      <c r="D51" s="79">
        <v>1</v>
      </c>
      <c r="E51" s="2" t="s">
        <v>104</v>
      </c>
      <c r="F51" s="2"/>
      <c r="G51" s="71" t="s">
        <v>55</v>
      </c>
      <c r="I51" s="73"/>
      <c r="J51" s="73"/>
      <c r="K51" s="73"/>
      <c r="L51" s="73">
        <f>ROUND($D51*1,)</f>
        <v>1</v>
      </c>
      <c r="M51" s="73"/>
      <c r="N51" s="73"/>
      <c r="O51" s="73"/>
      <c r="P51" s="73"/>
      <c r="Q51" s="73"/>
      <c r="R51" s="73"/>
      <c r="S51" s="74"/>
      <c r="T51" s="75"/>
      <c r="U51" s="78"/>
      <c r="Y51" s="73" t="s">
        <v>74</v>
      </c>
      <c r="AA51" s="80">
        <f t="shared" si="31"/>
        <v>0</v>
      </c>
      <c r="AB51" s="80">
        <f t="shared" si="32"/>
        <v>0</v>
      </c>
      <c r="AC51" s="80">
        <f t="shared" si="33"/>
        <v>0</v>
      </c>
    </row>
    <row r="52" spans="2:29" s="71" customFormat="1" x14ac:dyDescent="0.3">
      <c r="B52" s="72">
        <v>601</v>
      </c>
      <c r="C52" s="71" t="s">
        <v>82</v>
      </c>
      <c r="D52" s="79">
        <v>1</v>
      </c>
      <c r="E52" s="2" t="s">
        <v>83</v>
      </c>
      <c r="F52" s="2" t="s">
        <v>84</v>
      </c>
      <c r="I52" s="73"/>
      <c r="J52" s="73"/>
      <c r="K52" s="73"/>
      <c r="L52" s="73"/>
      <c r="M52" s="73"/>
      <c r="N52" s="73"/>
      <c r="O52" s="73">
        <v>5</v>
      </c>
      <c r="P52" s="73"/>
      <c r="Q52" s="73" t="s">
        <v>70</v>
      </c>
      <c r="R52" s="73" t="s">
        <v>85</v>
      </c>
      <c r="S52" s="74"/>
      <c r="T52" s="75"/>
      <c r="U52" s="78"/>
      <c r="Y52" s="73"/>
      <c r="Z52" s="81" t="str">
        <f>Q52&amp;R52</f>
        <v>Modbus RTU MRS485-2</v>
      </c>
    </row>
    <row r="53" spans="2:29" s="71" customFormat="1" x14ac:dyDescent="0.3">
      <c r="B53" s="72"/>
      <c r="D53" s="72"/>
      <c r="E53" s="2"/>
      <c r="F53" s="2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4"/>
      <c r="T53" s="75"/>
      <c r="U53" s="78"/>
      <c r="Y53" s="73"/>
    </row>
    <row r="54" spans="2:29" s="71" customFormat="1" x14ac:dyDescent="0.3">
      <c r="B54" s="72"/>
      <c r="D54" s="72"/>
      <c r="E54" s="76" t="s">
        <v>105</v>
      </c>
      <c r="F54" s="77"/>
      <c r="G54" s="77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4"/>
      <c r="T54" s="75"/>
      <c r="U54" s="78"/>
      <c r="Y54" s="73"/>
    </row>
    <row r="55" spans="2:29" s="71" customFormat="1" x14ac:dyDescent="0.3">
      <c r="B55" s="72"/>
      <c r="C55" s="71" t="s">
        <v>72</v>
      </c>
      <c r="D55" s="79">
        <v>1</v>
      </c>
      <c r="E55" s="2" t="s">
        <v>99</v>
      </c>
      <c r="F55" s="2" t="s">
        <v>42</v>
      </c>
      <c r="G55" s="71" t="s">
        <v>100</v>
      </c>
      <c r="I55" s="73"/>
      <c r="J55" s="73"/>
      <c r="K55" s="73"/>
      <c r="L55" s="73"/>
      <c r="M55" s="73">
        <f>ROUND($D55*1,)</f>
        <v>1</v>
      </c>
      <c r="N55" s="73"/>
      <c r="O55" s="73"/>
      <c r="P55" s="73"/>
      <c r="Q55" s="73"/>
      <c r="R55" s="73"/>
      <c r="S55" s="74"/>
      <c r="T55" s="75"/>
      <c r="U55" s="78"/>
      <c r="Y55" s="73" t="s">
        <v>74</v>
      </c>
      <c r="AA55" s="80">
        <f t="shared" ref="AA55:AA56" si="34">IFERROR(IF(Y55="M",I55+J55+K55+L55+M55+N55,),0)</f>
        <v>0</v>
      </c>
      <c r="AB55" s="80">
        <f t="shared" ref="AB55:AB56" si="35">IFERROR(IF(Y55="KS",I55+J55+K55+L55+M55+N55,),0)</f>
        <v>0</v>
      </c>
      <c r="AC55" s="80">
        <f t="shared" ref="AC55:AC56" si="36">IFERROR(IF(Y55="KM",I55+J55+K55+L55+M55+N55,),0)</f>
        <v>0</v>
      </c>
    </row>
    <row r="56" spans="2:29" s="71" customFormat="1" x14ac:dyDescent="0.3">
      <c r="B56" s="72">
        <v>111</v>
      </c>
      <c r="C56" s="71" t="s">
        <v>52</v>
      </c>
      <c r="D56" s="79">
        <v>1</v>
      </c>
      <c r="E56" s="2" t="s">
        <v>102</v>
      </c>
      <c r="F56" s="2"/>
      <c r="G56" s="71" t="s">
        <v>55</v>
      </c>
      <c r="I56" s="73"/>
      <c r="J56" s="73"/>
      <c r="K56" s="73"/>
      <c r="L56" s="73">
        <f>ROUND($D56*1,)</f>
        <v>1</v>
      </c>
      <c r="M56" s="73"/>
      <c r="N56" s="73"/>
      <c r="O56" s="73"/>
      <c r="P56" s="73"/>
      <c r="Q56" s="73"/>
      <c r="R56" s="73"/>
      <c r="S56" s="74"/>
      <c r="T56" s="75"/>
      <c r="U56" s="78"/>
      <c r="Y56" s="73" t="s">
        <v>74</v>
      </c>
      <c r="AA56" s="80">
        <f t="shared" si="34"/>
        <v>0</v>
      </c>
      <c r="AB56" s="80">
        <f t="shared" si="35"/>
        <v>0</v>
      </c>
      <c r="AC56" s="80">
        <f t="shared" si="36"/>
        <v>0</v>
      </c>
    </row>
    <row r="57" spans="2:29" s="71" customFormat="1" x14ac:dyDescent="0.3">
      <c r="B57" s="72">
        <v>601</v>
      </c>
      <c r="C57" s="71" t="s">
        <v>82</v>
      </c>
      <c r="D57" s="79">
        <v>1</v>
      </c>
      <c r="E57" s="2" t="s">
        <v>83</v>
      </c>
      <c r="F57" s="2" t="s">
        <v>84</v>
      </c>
      <c r="I57" s="73"/>
      <c r="J57" s="73"/>
      <c r="K57" s="73"/>
      <c r="L57" s="73"/>
      <c r="M57" s="73"/>
      <c r="N57" s="73"/>
      <c r="O57" s="73">
        <v>5</v>
      </c>
      <c r="P57" s="73"/>
      <c r="Q57" s="73" t="s">
        <v>70</v>
      </c>
      <c r="R57" s="73" t="s">
        <v>85</v>
      </c>
      <c r="S57" s="74"/>
      <c r="T57" s="75"/>
      <c r="U57" s="78"/>
      <c r="Y57" s="73"/>
      <c r="Z57" s="81" t="str">
        <f>Q57&amp;R57</f>
        <v>Modbus RTU MRS485-2</v>
      </c>
    </row>
    <row r="58" spans="2:29" s="71" customFormat="1" x14ac:dyDescent="0.3">
      <c r="B58" s="72"/>
      <c r="C58" s="71" t="s">
        <v>67</v>
      </c>
      <c r="D58" s="79">
        <v>1</v>
      </c>
      <c r="E58" s="2" t="s">
        <v>106</v>
      </c>
      <c r="F58" s="2"/>
      <c r="H58" s="2" t="s">
        <v>69</v>
      </c>
      <c r="I58" s="73"/>
      <c r="J58" s="73"/>
      <c r="K58" s="73"/>
      <c r="L58" s="73"/>
      <c r="M58" s="73"/>
      <c r="N58" s="73"/>
      <c r="O58" s="73">
        <v>5</v>
      </c>
      <c r="P58" s="73">
        <v>3</v>
      </c>
      <c r="Q58" s="73" t="s">
        <v>70</v>
      </c>
      <c r="R58" s="73" t="s">
        <v>71</v>
      </c>
      <c r="S58" s="74"/>
      <c r="T58" s="73"/>
      <c r="U58" s="78"/>
      <c r="Y58" s="73"/>
      <c r="Z58" s="81" t="str">
        <f t="shared" ref="Z58:Z59" si="37">Q58&amp;R58</f>
        <v>Modbus RTU MRS485-4</v>
      </c>
    </row>
    <row r="59" spans="2:29" s="71" customFormat="1" x14ac:dyDescent="0.3">
      <c r="B59" s="72"/>
      <c r="C59" s="71" t="s">
        <v>67</v>
      </c>
      <c r="D59" s="79">
        <v>1</v>
      </c>
      <c r="E59" s="2" t="s">
        <v>106</v>
      </c>
      <c r="F59" s="2"/>
      <c r="H59" s="2" t="s">
        <v>69</v>
      </c>
      <c r="I59" s="73"/>
      <c r="J59" s="73"/>
      <c r="K59" s="73"/>
      <c r="L59" s="73"/>
      <c r="M59" s="73"/>
      <c r="N59" s="73"/>
      <c r="O59" s="73">
        <v>5</v>
      </c>
      <c r="P59" s="73">
        <v>3</v>
      </c>
      <c r="Q59" s="73" t="s">
        <v>70</v>
      </c>
      <c r="R59" s="73" t="s">
        <v>71</v>
      </c>
      <c r="S59" s="74"/>
      <c r="T59" s="73"/>
      <c r="U59" s="78"/>
      <c r="Y59" s="73"/>
      <c r="Z59" s="81" t="str">
        <f t="shared" si="37"/>
        <v>Modbus RTU MRS485-4</v>
      </c>
    </row>
    <row r="60" spans="2:29" s="71" customFormat="1" x14ac:dyDescent="0.3">
      <c r="B60" s="72">
        <v>111</v>
      </c>
      <c r="C60" s="71" t="s">
        <v>52</v>
      </c>
      <c r="D60" s="79">
        <v>1</v>
      </c>
      <c r="E60" s="2" t="s">
        <v>107</v>
      </c>
      <c r="F60" s="2"/>
      <c r="G60" s="71" t="s">
        <v>55</v>
      </c>
      <c r="I60" s="73"/>
      <c r="J60" s="73"/>
      <c r="K60" s="73"/>
      <c r="L60" s="73">
        <f>ROUND($D60*1,)</f>
        <v>1</v>
      </c>
      <c r="M60" s="73"/>
      <c r="N60" s="73"/>
      <c r="O60" s="73"/>
      <c r="P60" s="73"/>
      <c r="Q60" s="73"/>
      <c r="R60" s="73"/>
      <c r="S60" s="74"/>
      <c r="T60" s="75"/>
      <c r="U60" s="78"/>
      <c r="Y60" s="73" t="s">
        <v>74</v>
      </c>
      <c r="AA60" s="80">
        <f t="shared" ref="AA60:AA61" si="38">IFERROR(IF(Y60="M",I60+J60+K60+L60+M60+N60,),0)</f>
        <v>0</v>
      </c>
      <c r="AB60" s="80">
        <f t="shared" ref="AB60:AB61" si="39">IFERROR(IF(Y60="KS",I60+J60+K60+L60+M60+N60,),0)</f>
        <v>0</v>
      </c>
      <c r="AC60" s="80">
        <f t="shared" ref="AC60:AC61" si="40">IFERROR(IF(Y60="KM",I60+J60+K60+L60+M60+N60,),0)</f>
        <v>0</v>
      </c>
    </row>
    <row r="61" spans="2:29" s="71" customFormat="1" x14ac:dyDescent="0.3">
      <c r="B61" s="72">
        <v>111</v>
      </c>
      <c r="C61" s="71" t="s">
        <v>103</v>
      </c>
      <c r="D61" s="79">
        <v>1</v>
      </c>
      <c r="E61" s="2" t="s">
        <v>108</v>
      </c>
      <c r="F61" s="2"/>
      <c r="G61" s="71" t="s">
        <v>55</v>
      </c>
      <c r="I61" s="73"/>
      <c r="J61" s="73"/>
      <c r="K61" s="73"/>
      <c r="L61" s="73">
        <f>ROUND($D61*1,)</f>
        <v>1</v>
      </c>
      <c r="M61" s="73"/>
      <c r="N61" s="73"/>
      <c r="O61" s="73"/>
      <c r="P61" s="73"/>
      <c r="Q61" s="73"/>
      <c r="R61" s="73"/>
      <c r="S61" s="74"/>
      <c r="T61" s="75"/>
      <c r="U61" s="78"/>
      <c r="Y61" s="73" t="s">
        <v>74</v>
      </c>
      <c r="AA61" s="80">
        <f t="shared" si="38"/>
        <v>0</v>
      </c>
      <c r="AB61" s="80">
        <f t="shared" si="39"/>
        <v>0</v>
      </c>
      <c r="AC61" s="80">
        <f t="shared" si="40"/>
        <v>0</v>
      </c>
    </row>
    <row r="62" spans="2:29" s="71" customFormat="1" x14ac:dyDescent="0.3">
      <c r="B62" s="72">
        <v>105</v>
      </c>
      <c r="C62" s="71" t="s">
        <v>76</v>
      </c>
      <c r="D62" s="79">
        <v>1</v>
      </c>
      <c r="E62" s="2" t="s">
        <v>77</v>
      </c>
      <c r="F62" s="2"/>
      <c r="G62" s="77"/>
      <c r="H62" s="2" t="s">
        <v>78</v>
      </c>
      <c r="I62" s="73">
        <f>ROUND($D62*1,)</f>
        <v>1</v>
      </c>
      <c r="J62" s="73"/>
      <c r="K62" s="73"/>
      <c r="L62" s="73"/>
      <c r="M62" s="73"/>
      <c r="N62" s="73"/>
      <c r="O62" s="73"/>
      <c r="P62" s="73"/>
      <c r="Q62" s="73"/>
      <c r="R62" s="73"/>
      <c r="S62" s="74"/>
      <c r="T62" s="75">
        <v>230</v>
      </c>
      <c r="U62" s="74">
        <v>10</v>
      </c>
      <c r="Y62" s="73" t="s">
        <v>74</v>
      </c>
      <c r="AA62" s="80">
        <f>IFERROR(IF(Y62="M",I62+J62+K62+L62+M62+N62,),0)</f>
        <v>0</v>
      </c>
      <c r="AB62" s="80">
        <f>IFERROR(IF(Y62="KS",I62+J62+K62+L62+M62+N62,),0)</f>
        <v>0</v>
      </c>
      <c r="AC62" s="80">
        <f>IFERROR(IF(Y62="KM",I62+J62+K62+L62+M62+N62,),0)</f>
        <v>0</v>
      </c>
    </row>
    <row r="63" spans="2:29" s="71" customFormat="1" x14ac:dyDescent="0.3">
      <c r="B63" s="72">
        <v>105</v>
      </c>
      <c r="C63" s="71" t="s">
        <v>79</v>
      </c>
      <c r="D63" s="79">
        <v>1</v>
      </c>
      <c r="E63" s="2" t="s">
        <v>80</v>
      </c>
      <c r="F63" s="2"/>
      <c r="G63" s="71" t="s">
        <v>81</v>
      </c>
      <c r="I63" s="73"/>
      <c r="J63" s="73"/>
      <c r="K63" s="73"/>
      <c r="L63" s="73">
        <f>ROUND($D63*1,)</f>
        <v>1</v>
      </c>
      <c r="M63" s="73"/>
      <c r="N63" s="73"/>
      <c r="O63" s="73"/>
      <c r="P63" s="73"/>
      <c r="Q63" s="73"/>
      <c r="R63" s="73"/>
      <c r="S63" s="74"/>
      <c r="T63" s="75"/>
      <c r="U63" s="78"/>
      <c r="Y63" s="73" t="s">
        <v>74</v>
      </c>
      <c r="AA63" s="80">
        <f>IFERROR(IF(Y63="M",I63+J63+K63+L63+M63+N63,),0)</f>
        <v>0</v>
      </c>
      <c r="AB63" s="80">
        <f>IFERROR(IF(Y63="KS",I63+J63+K63+L63+M63+N63,),0)</f>
        <v>0</v>
      </c>
      <c r="AC63" s="80">
        <f>IFERROR(IF(Y63="KM",I63+J63+K63+L63+M63+N63,),0)</f>
        <v>0</v>
      </c>
    </row>
    <row r="64" spans="2:29" s="71" customFormat="1" x14ac:dyDescent="0.3">
      <c r="B64" s="72"/>
      <c r="D64" s="72"/>
      <c r="E64" s="2"/>
      <c r="F64" s="2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4"/>
      <c r="T64" s="75"/>
      <c r="U64" s="78"/>
      <c r="Y64" s="73"/>
    </row>
    <row r="65" spans="1:29" s="71" customFormat="1" x14ac:dyDescent="0.3">
      <c r="B65" s="72"/>
      <c r="C65" s="71" t="s">
        <v>72</v>
      </c>
      <c r="D65" s="79">
        <v>1</v>
      </c>
      <c r="E65" s="2" t="s">
        <v>109</v>
      </c>
      <c r="F65" s="2" t="s">
        <v>42</v>
      </c>
      <c r="G65" s="71" t="s">
        <v>100</v>
      </c>
      <c r="I65" s="73"/>
      <c r="J65" s="73"/>
      <c r="K65" s="73"/>
      <c r="L65" s="73"/>
      <c r="M65" s="73">
        <f>ROUND($D65*1,)</f>
        <v>1</v>
      </c>
      <c r="N65" s="73"/>
      <c r="O65" s="73"/>
      <c r="P65" s="73"/>
      <c r="Q65" s="73"/>
      <c r="R65" s="73"/>
      <c r="S65" s="74"/>
      <c r="T65" s="75"/>
      <c r="U65" s="78"/>
      <c r="Y65" s="73" t="s">
        <v>74</v>
      </c>
      <c r="AA65" s="80">
        <f t="shared" ref="AA65:AA66" si="41">IFERROR(IF(Y65="M",I65+J65+K65+L65+M65+N65,),0)</f>
        <v>0</v>
      </c>
      <c r="AB65" s="80">
        <f t="shared" ref="AB65:AB66" si="42">IFERROR(IF(Y65="KS",I65+J65+K65+L65+M65+N65,),0)</f>
        <v>0</v>
      </c>
      <c r="AC65" s="80">
        <f t="shared" ref="AC65:AC66" si="43">IFERROR(IF(Y65="KM",I65+J65+K65+L65+M65+N65,),0)</f>
        <v>0</v>
      </c>
    </row>
    <row r="66" spans="1:29" s="71" customFormat="1" x14ac:dyDescent="0.3">
      <c r="B66" s="72">
        <v>111</v>
      </c>
      <c r="C66" s="71" t="s">
        <v>52</v>
      </c>
      <c r="D66" s="79">
        <v>1</v>
      </c>
      <c r="E66" s="2" t="s">
        <v>102</v>
      </c>
      <c r="F66" s="2"/>
      <c r="G66" s="71" t="s">
        <v>55</v>
      </c>
      <c r="I66" s="73"/>
      <c r="J66" s="73"/>
      <c r="K66" s="73"/>
      <c r="L66" s="73">
        <f>ROUND($D66*1,)</f>
        <v>1</v>
      </c>
      <c r="M66" s="73"/>
      <c r="N66" s="73"/>
      <c r="O66" s="73"/>
      <c r="P66" s="73"/>
      <c r="Q66" s="73"/>
      <c r="R66" s="73"/>
      <c r="S66" s="74"/>
      <c r="T66" s="75"/>
      <c r="U66" s="78"/>
      <c r="Y66" s="73" t="s">
        <v>74</v>
      </c>
      <c r="AA66" s="80">
        <f t="shared" si="41"/>
        <v>0</v>
      </c>
      <c r="AB66" s="80">
        <f t="shared" si="42"/>
        <v>0</v>
      </c>
      <c r="AC66" s="80">
        <f t="shared" si="43"/>
        <v>0</v>
      </c>
    </row>
    <row r="67" spans="1:29" s="71" customFormat="1" x14ac:dyDescent="0.3">
      <c r="B67" s="72">
        <v>601</v>
      </c>
      <c r="C67" s="71" t="s">
        <v>82</v>
      </c>
      <c r="D67" s="79">
        <v>1</v>
      </c>
      <c r="E67" s="2" t="s">
        <v>110</v>
      </c>
      <c r="F67" s="2" t="s">
        <v>84</v>
      </c>
      <c r="I67" s="73"/>
      <c r="J67" s="73"/>
      <c r="K67" s="73"/>
      <c r="L67" s="73"/>
      <c r="M67" s="73"/>
      <c r="N67" s="73"/>
      <c r="O67" s="73">
        <v>5</v>
      </c>
      <c r="P67" s="73"/>
      <c r="Q67" s="73" t="s">
        <v>70</v>
      </c>
      <c r="R67" s="73" t="s">
        <v>85</v>
      </c>
      <c r="S67" s="74"/>
      <c r="T67" s="75"/>
      <c r="U67" s="78"/>
      <c r="Y67" s="73"/>
      <c r="Z67" s="81" t="str">
        <f>Q67&amp;R67</f>
        <v>Modbus RTU MRS485-2</v>
      </c>
    </row>
    <row r="68" spans="1:29" s="71" customFormat="1" x14ac:dyDescent="0.3">
      <c r="B68" s="72"/>
      <c r="D68" s="79"/>
      <c r="E68" s="2"/>
      <c r="F68" s="2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4"/>
      <c r="T68" s="75"/>
      <c r="U68" s="78"/>
      <c r="Y68" s="73"/>
      <c r="Z68" s="81"/>
    </row>
    <row r="69" spans="1:29" s="71" customFormat="1" x14ac:dyDescent="0.3">
      <c r="B69" s="72"/>
      <c r="D69" s="72"/>
      <c r="E69" s="76" t="s">
        <v>111</v>
      </c>
      <c r="F69" s="77"/>
      <c r="G69" s="77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4"/>
      <c r="T69" s="75"/>
      <c r="U69" s="78"/>
      <c r="Y69" s="73"/>
    </row>
    <row r="70" spans="1:29" s="71" customFormat="1" x14ac:dyDescent="0.3">
      <c r="B70" s="72"/>
      <c r="D70" s="72"/>
      <c r="E70" s="76" t="s">
        <v>112</v>
      </c>
      <c r="F70" s="77"/>
      <c r="G70" s="77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4"/>
      <c r="T70" s="75"/>
      <c r="U70" s="78"/>
      <c r="Y70" s="73"/>
    </row>
    <row r="71" spans="1:29" s="71" customFormat="1" x14ac:dyDescent="0.3">
      <c r="B71" s="72">
        <v>611</v>
      </c>
      <c r="C71" s="71" t="s">
        <v>113</v>
      </c>
      <c r="D71" s="79">
        <v>2</v>
      </c>
      <c r="E71" s="2" t="s">
        <v>114</v>
      </c>
      <c r="F71" s="2" t="s">
        <v>42</v>
      </c>
      <c r="G71" s="71" t="s">
        <v>100</v>
      </c>
      <c r="I71" s="73"/>
      <c r="J71" s="73"/>
      <c r="K71" s="73"/>
      <c r="L71" s="73"/>
      <c r="M71" s="73">
        <f>ROUND($D71*1,)</f>
        <v>2</v>
      </c>
      <c r="N71" s="73"/>
      <c r="O71" s="73"/>
      <c r="P71" s="73"/>
      <c r="Q71" s="73"/>
      <c r="R71" s="73"/>
      <c r="S71" s="74"/>
      <c r="T71" s="75"/>
      <c r="U71" s="78"/>
      <c r="Y71" s="73" t="s">
        <v>74</v>
      </c>
      <c r="AA71" s="80">
        <f>IFERROR(IF(Y71="M",I71+J71+K71+L71+M71+N71,),0)</f>
        <v>0</v>
      </c>
      <c r="AB71" s="80">
        <f>IFERROR(IF(Y71="KS",I71+J71+K71+L71+M71+N71,),0)</f>
        <v>0</v>
      </c>
      <c r="AC71" s="80">
        <f>IFERROR(IF(Y71="KM",I71+J71+K71+L71+M71+N71,),0)</f>
        <v>0</v>
      </c>
    </row>
    <row r="72" spans="1:29" s="71" customFormat="1" x14ac:dyDescent="0.3">
      <c r="B72" s="72">
        <v>611</v>
      </c>
      <c r="C72" s="71" t="s">
        <v>40</v>
      </c>
      <c r="D72" s="79">
        <v>1</v>
      </c>
      <c r="E72" s="2" t="s">
        <v>41</v>
      </c>
      <c r="F72" s="2" t="s">
        <v>42</v>
      </c>
      <c r="G72" s="71" t="s">
        <v>115</v>
      </c>
      <c r="H72" s="71" t="s">
        <v>44</v>
      </c>
      <c r="I72" s="73">
        <f>ROUND($D72*1,)</f>
        <v>1</v>
      </c>
      <c r="J72" s="73">
        <f>ROUND($D72*1,)</f>
        <v>1</v>
      </c>
      <c r="K72" s="72"/>
      <c r="L72" s="73"/>
      <c r="M72" s="73"/>
      <c r="N72" s="73"/>
      <c r="O72" s="73"/>
      <c r="P72" s="73"/>
      <c r="Q72" s="73"/>
      <c r="R72" s="73"/>
      <c r="S72" s="74"/>
      <c r="T72" s="75"/>
      <c r="U72" s="78"/>
      <c r="Y72" s="73" t="s">
        <v>74</v>
      </c>
      <c r="AA72" s="80">
        <f t="shared" ref="AA72:AA77" si="44">IFERROR(IF(Y72="M",I72+J72+K72+L72+M72+N72,),0)</f>
        <v>0</v>
      </c>
      <c r="AB72" s="80">
        <f t="shared" ref="AB72:AB77" si="45">IFERROR(IF(Y72="KS",I72+J72+K72+L72+M72+N72,),0)</f>
        <v>0</v>
      </c>
      <c r="AC72" s="80">
        <f t="shared" ref="AC72:AC77" si="46">IFERROR(IF(Y72="KM",I72+J72+K72+L72+M72+N72,),0)</f>
        <v>0</v>
      </c>
    </row>
    <row r="73" spans="1:29" s="71" customFormat="1" x14ac:dyDescent="0.3">
      <c r="B73" s="72">
        <v>611</v>
      </c>
      <c r="C73" s="71" t="s">
        <v>46</v>
      </c>
      <c r="D73" s="79">
        <v>1</v>
      </c>
      <c r="E73" s="2" t="s">
        <v>47</v>
      </c>
      <c r="F73" s="2" t="s">
        <v>42</v>
      </c>
      <c r="G73" s="71" t="s">
        <v>115</v>
      </c>
      <c r="I73" s="73">
        <f>ROUND($D73*1,)</f>
        <v>1</v>
      </c>
      <c r="J73" s="73" t="s">
        <v>116</v>
      </c>
      <c r="K73" s="72"/>
      <c r="L73" s="73"/>
      <c r="M73" s="73"/>
      <c r="N73" s="73"/>
      <c r="O73" s="73"/>
      <c r="P73" s="73"/>
      <c r="Q73" s="73"/>
      <c r="R73" s="73"/>
      <c r="S73" s="74"/>
      <c r="T73" s="75"/>
      <c r="U73" s="78"/>
      <c r="Y73" s="73" t="s">
        <v>74</v>
      </c>
      <c r="AA73" s="80">
        <f t="shared" si="44"/>
        <v>0</v>
      </c>
      <c r="AB73" s="80">
        <f t="shared" si="45"/>
        <v>0</v>
      </c>
      <c r="AC73" s="80">
        <f t="shared" si="46"/>
        <v>0</v>
      </c>
    </row>
    <row r="74" spans="1:29" s="71" customFormat="1" x14ac:dyDescent="0.3">
      <c r="B74" s="72">
        <v>611</v>
      </c>
      <c r="C74" s="71" t="s">
        <v>48</v>
      </c>
      <c r="D74" s="79">
        <v>1</v>
      </c>
      <c r="E74" s="2" t="s">
        <v>49</v>
      </c>
      <c r="F74" s="2" t="s">
        <v>42</v>
      </c>
      <c r="G74" s="71" t="s">
        <v>115</v>
      </c>
      <c r="H74" s="71" t="s">
        <v>44</v>
      </c>
      <c r="I74" s="73">
        <f>ROUND($D74*1,)</f>
        <v>1</v>
      </c>
      <c r="J74" s="73">
        <f>ROUND($D74*1,)</f>
        <v>1</v>
      </c>
      <c r="K74" s="72"/>
      <c r="L74" s="73"/>
      <c r="M74" s="73"/>
      <c r="N74" s="73"/>
      <c r="O74" s="73"/>
      <c r="P74" s="73"/>
      <c r="Q74" s="73"/>
      <c r="R74" s="73"/>
      <c r="S74" s="74"/>
      <c r="T74" s="75"/>
      <c r="U74" s="78"/>
      <c r="Y74" s="73" t="s">
        <v>74</v>
      </c>
      <c r="AA74" s="80">
        <f t="shared" si="44"/>
        <v>0</v>
      </c>
      <c r="AB74" s="80">
        <f t="shared" si="45"/>
        <v>0</v>
      </c>
      <c r="AC74" s="80">
        <f t="shared" si="46"/>
        <v>0</v>
      </c>
    </row>
    <row r="75" spans="1:29" s="71" customFormat="1" x14ac:dyDescent="0.3">
      <c r="B75" s="72">
        <v>611</v>
      </c>
      <c r="C75" s="71" t="s">
        <v>50</v>
      </c>
      <c r="D75" s="79">
        <v>1</v>
      </c>
      <c r="E75" s="2" t="s">
        <v>51</v>
      </c>
      <c r="F75" s="2" t="s">
        <v>42</v>
      </c>
      <c r="G75" s="71" t="s">
        <v>115</v>
      </c>
      <c r="I75" s="73">
        <f>ROUND($D75*1,)</f>
        <v>1</v>
      </c>
      <c r="J75" s="73" t="s">
        <v>116</v>
      </c>
      <c r="K75" s="72"/>
      <c r="L75" s="73"/>
      <c r="M75" s="73"/>
      <c r="N75" s="73"/>
      <c r="O75" s="73"/>
      <c r="P75" s="73"/>
      <c r="Q75" s="73"/>
      <c r="R75" s="73"/>
      <c r="S75" s="74"/>
      <c r="T75" s="75"/>
      <c r="U75" s="78"/>
      <c r="Y75" s="73" t="s">
        <v>74</v>
      </c>
      <c r="AA75" s="80">
        <f t="shared" si="44"/>
        <v>0</v>
      </c>
      <c r="AB75" s="80">
        <f t="shared" si="45"/>
        <v>0</v>
      </c>
      <c r="AC75" s="80">
        <f t="shared" si="46"/>
        <v>0</v>
      </c>
    </row>
    <row r="76" spans="1:29" s="71" customFormat="1" x14ac:dyDescent="0.3">
      <c r="B76" s="72"/>
      <c r="C76" s="71" t="s">
        <v>67</v>
      </c>
      <c r="D76" s="79">
        <v>1</v>
      </c>
      <c r="E76" s="2" t="s">
        <v>101</v>
      </c>
      <c r="F76" s="2"/>
      <c r="H76" s="2" t="s">
        <v>69</v>
      </c>
      <c r="I76" s="73"/>
      <c r="J76" s="73"/>
      <c r="K76" s="73"/>
      <c r="L76" s="73"/>
      <c r="M76" s="73"/>
      <c r="N76" s="73"/>
      <c r="O76" s="73">
        <v>5</v>
      </c>
      <c r="P76" s="73">
        <v>3</v>
      </c>
      <c r="Q76" s="73" t="s">
        <v>70</v>
      </c>
      <c r="R76" s="73" t="s">
        <v>71</v>
      </c>
      <c r="S76" s="74"/>
      <c r="T76" s="73"/>
      <c r="U76" s="78"/>
      <c r="Y76" s="73"/>
      <c r="Z76" s="81" t="str">
        <f t="shared" ref="Z76" si="47">Q76&amp;R76</f>
        <v>Modbus RTU MRS485-4</v>
      </c>
    </row>
    <row r="77" spans="1:29" s="71" customFormat="1" x14ac:dyDescent="0.3">
      <c r="B77" s="72">
        <v>611</v>
      </c>
      <c r="C77" s="71" t="s">
        <v>52</v>
      </c>
      <c r="D77" s="79">
        <v>1</v>
      </c>
      <c r="E77" s="2" t="s">
        <v>102</v>
      </c>
      <c r="F77" s="2"/>
      <c r="G77" s="71" t="s">
        <v>55</v>
      </c>
      <c r="I77" s="73"/>
      <c r="J77" s="73"/>
      <c r="K77" s="73"/>
      <c r="L77" s="73">
        <f>ROUND($D77*1,)</f>
        <v>1</v>
      </c>
      <c r="M77" s="73"/>
      <c r="N77" s="73"/>
      <c r="O77" s="73"/>
      <c r="P77" s="73"/>
      <c r="Q77" s="73"/>
      <c r="R77" s="73"/>
      <c r="S77" s="74"/>
      <c r="T77" s="75"/>
      <c r="U77" s="78"/>
      <c r="Y77" s="73" t="s">
        <v>74</v>
      </c>
      <c r="AA77" s="80">
        <f t="shared" si="44"/>
        <v>0</v>
      </c>
      <c r="AB77" s="80">
        <f t="shared" si="45"/>
        <v>0</v>
      </c>
      <c r="AC77" s="80">
        <f t="shared" si="46"/>
        <v>0</v>
      </c>
    </row>
    <row r="78" spans="1:29" s="71" customFormat="1" x14ac:dyDescent="0.3">
      <c r="B78" s="72">
        <v>611</v>
      </c>
      <c r="C78" s="71" t="s">
        <v>103</v>
      </c>
      <c r="D78" s="79">
        <v>1</v>
      </c>
      <c r="E78" s="2" t="s">
        <v>104</v>
      </c>
      <c r="F78" s="2"/>
      <c r="G78" s="71" t="s">
        <v>55</v>
      </c>
      <c r="I78" s="73"/>
      <c r="J78" s="73"/>
      <c r="K78" s="73"/>
      <c r="L78" s="73">
        <f>ROUND($D78*1,)</f>
        <v>1</v>
      </c>
      <c r="M78" s="73"/>
      <c r="N78" s="73"/>
      <c r="O78" s="73"/>
      <c r="P78" s="73"/>
      <c r="Q78" s="73"/>
      <c r="R78" s="73"/>
      <c r="S78" s="74"/>
      <c r="T78" s="75"/>
      <c r="U78" s="78"/>
      <c r="Y78" s="73" t="s">
        <v>74</v>
      </c>
      <c r="AA78" s="80">
        <f>IFERROR(IF(Y78="M",I78+J78+K78+L78+M78+N78,),0)</f>
        <v>0</v>
      </c>
      <c r="AB78" s="80">
        <f>IFERROR(IF(Y78="KS",I78+J78+K78+L78+M78+N78,),0)</f>
        <v>0</v>
      </c>
      <c r="AC78" s="80">
        <f>IFERROR(IF(Y78="KM",I78+J78+K78+L78+M78+N78,),0)</f>
        <v>0</v>
      </c>
    </row>
    <row r="79" spans="1:29" s="71" customFormat="1" x14ac:dyDescent="0.3">
      <c r="A79" s="71" t="s">
        <v>117</v>
      </c>
      <c r="B79" s="72">
        <v>601</v>
      </c>
      <c r="C79" s="71" t="s">
        <v>82</v>
      </c>
      <c r="D79" s="79">
        <v>1</v>
      </c>
      <c r="E79" s="2" t="s">
        <v>118</v>
      </c>
      <c r="F79" s="2" t="s">
        <v>84</v>
      </c>
      <c r="I79" s="73"/>
      <c r="J79" s="73"/>
      <c r="K79" s="73"/>
      <c r="L79" s="73"/>
      <c r="M79" s="73"/>
      <c r="N79" s="73"/>
      <c r="O79" s="73">
        <v>5</v>
      </c>
      <c r="P79" s="73"/>
      <c r="Q79" s="73" t="s">
        <v>70</v>
      </c>
      <c r="R79" s="73" t="s">
        <v>85</v>
      </c>
      <c r="S79" s="74"/>
      <c r="T79" s="75"/>
      <c r="U79" s="78"/>
      <c r="Y79" s="73"/>
      <c r="Z79" s="81" t="str">
        <f>Q79&amp;R79</f>
        <v>Modbus RTU MRS485-2</v>
      </c>
    </row>
    <row r="80" spans="1:29" s="71" customFormat="1" x14ac:dyDescent="0.3">
      <c r="B80" s="72"/>
      <c r="D80" s="72"/>
      <c r="E80" s="2"/>
      <c r="F80" s="2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4"/>
      <c r="T80" s="75"/>
      <c r="U80" s="78"/>
      <c r="Y80" s="73"/>
    </row>
    <row r="81" spans="2:29" s="71" customFormat="1" x14ac:dyDescent="0.3">
      <c r="B81" s="72">
        <v>601</v>
      </c>
      <c r="C81" s="71" t="s">
        <v>82</v>
      </c>
      <c r="D81" s="79">
        <v>1</v>
      </c>
      <c r="E81" s="2" t="s">
        <v>119</v>
      </c>
      <c r="F81" s="2" t="s">
        <v>84</v>
      </c>
      <c r="I81" s="73"/>
      <c r="J81" s="73"/>
      <c r="K81" s="73"/>
      <c r="L81" s="73"/>
      <c r="M81" s="73"/>
      <c r="N81" s="73"/>
      <c r="O81" s="73">
        <v>5</v>
      </c>
      <c r="P81" s="73"/>
      <c r="Q81" s="73" t="s">
        <v>70</v>
      </c>
      <c r="R81" s="73" t="s">
        <v>85</v>
      </c>
      <c r="S81" s="74"/>
      <c r="T81" s="75"/>
      <c r="U81" s="78"/>
      <c r="Y81" s="73"/>
      <c r="Z81" s="81" t="str">
        <f>Q81&amp;R81</f>
        <v>Modbus RTU MRS485-2</v>
      </c>
    </row>
    <row r="82" spans="2:29" s="71" customFormat="1" x14ac:dyDescent="0.3">
      <c r="B82" s="72"/>
      <c r="D82" s="79"/>
      <c r="E82" s="2"/>
      <c r="F82" s="2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4"/>
      <c r="T82" s="75"/>
      <c r="U82" s="78"/>
      <c r="Y82" s="73"/>
      <c r="AA82" s="80"/>
      <c r="AB82" s="80"/>
      <c r="AC82" s="80"/>
    </row>
    <row r="83" spans="2:29" s="71" customFormat="1" x14ac:dyDescent="0.3">
      <c r="B83" s="72"/>
      <c r="D83" s="72"/>
      <c r="E83" s="76" t="s">
        <v>120</v>
      </c>
      <c r="F83" s="77"/>
      <c r="G83" s="77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4"/>
      <c r="T83" s="75"/>
      <c r="U83" s="78"/>
      <c r="Y83" s="73"/>
    </row>
    <row r="84" spans="2:29" s="71" customFormat="1" x14ac:dyDescent="0.3">
      <c r="B84" s="72">
        <v>401</v>
      </c>
      <c r="C84" s="71" t="s">
        <v>121</v>
      </c>
      <c r="D84" s="79">
        <v>1</v>
      </c>
      <c r="E84" s="2" t="s">
        <v>122</v>
      </c>
      <c r="F84" s="2"/>
      <c r="G84" s="77"/>
      <c r="H84" s="2" t="s">
        <v>78</v>
      </c>
      <c r="I84" s="73">
        <f>ROUND($D84*1,)</f>
        <v>1</v>
      </c>
      <c r="J84" s="73">
        <f>ROUND($D84*1,)</f>
        <v>1</v>
      </c>
      <c r="K84" s="73"/>
      <c r="L84" s="73"/>
      <c r="M84" s="73">
        <f>ROUND($D84*1,)</f>
        <v>1</v>
      </c>
      <c r="N84" s="73"/>
      <c r="O84" s="73"/>
      <c r="P84" s="73"/>
      <c r="Q84" s="73"/>
      <c r="R84" s="73"/>
      <c r="S84" s="74"/>
      <c r="T84" s="75">
        <v>230</v>
      </c>
      <c r="U84" s="74">
        <v>10</v>
      </c>
      <c r="Y84" s="73" t="s">
        <v>74</v>
      </c>
      <c r="AA84" s="80">
        <f>IFERROR(IF(Y84="M",I84+J84+K84+L84+M84+N84,),0)</f>
        <v>0</v>
      </c>
      <c r="AB84" s="80">
        <f>IFERROR(IF(Y84="KS",I84+J84+K84+L84+M84+N84,),0)</f>
        <v>0</v>
      </c>
      <c r="AC84" s="80">
        <f>IFERROR(IF(Y84="KM",I84+J84+K84+L84+M84+N84,),0)</f>
        <v>0</v>
      </c>
    </row>
    <row r="85" spans="2:29" s="71" customFormat="1" x14ac:dyDescent="0.3">
      <c r="B85" s="72"/>
      <c r="D85" s="79"/>
      <c r="E85" s="2"/>
      <c r="F85" s="2"/>
      <c r="G85" s="77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4"/>
      <c r="T85" s="75"/>
      <c r="U85" s="78"/>
      <c r="Y85" s="73"/>
      <c r="AA85" s="80"/>
      <c r="AB85" s="80"/>
      <c r="AC85" s="80"/>
    </row>
    <row r="86" spans="2:29" s="71" customFormat="1" x14ac:dyDescent="0.3">
      <c r="B86" s="72"/>
      <c r="D86" s="72"/>
      <c r="E86" s="76" t="s">
        <v>123</v>
      </c>
      <c r="F86" s="77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4"/>
      <c r="T86" s="75"/>
      <c r="U86" s="78"/>
      <c r="Y86" s="73"/>
    </row>
    <row r="87" spans="2:29" s="71" customFormat="1" x14ac:dyDescent="0.3">
      <c r="B87" s="72">
        <v>501</v>
      </c>
      <c r="C87" s="71" t="s">
        <v>124</v>
      </c>
      <c r="D87" s="72">
        <v>10</v>
      </c>
      <c r="E87" s="2" t="s">
        <v>125</v>
      </c>
      <c r="F87" s="77"/>
      <c r="I87" s="73">
        <f t="shared" ref="I87:I99" si="48">ROUND($D87*1,)</f>
        <v>10</v>
      </c>
      <c r="J87" s="73"/>
      <c r="K87" s="73"/>
      <c r="L87" s="73"/>
      <c r="M87" s="73"/>
      <c r="N87" s="73"/>
      <c r="O87" s="73"/>
      <c r="P87" s="73"/>
      <c r="Q87" s="73"/>
      <c r="R87" s="73"/>
      <c r="S87" s="74"/>
      <c r="T87" s="75"/>
      <c r="U87" s="78"/>
      <c r="Y87" s="73" t="s">
        <v>74</v>
      </c>
      <c r="AA87" s="80">
        <f>IFERROR(IF(Y87="M",I87+J87+K87+L87+M87+N87,),0)</f>
        <v>0</v>
      </c>
      <c r="AB87" s="80">
        <f>IFERROR(IF(Y87="KS",I87+J87+K87+L87+M87+N87,),0)</f>
        <v>0</v>
      </c>
      <c r="AC87" s="80">
        <f>IFERROR(IF(Y87="KM",I87+J87+K87+L87+M87+N87,),0)</f>
        <v>0</v>
      </c>
    </row>
    <row r="88" spans="2:29" s="71" customFormat="1" x14ac:dyDescent="0.3">
      <c r="B88" s="72" t="s">
        <v>126</v>
      </c>
      <c r="C88" s="71" t="s">
        <v>76</v>
      </c>
      <c r="D88" s="79">
        <v>1</v>
      </c>
      <c r="E88" s="2" t="s">
        <v>127</v>
      </c>
      <c r="F88" s="2" t="s">
        <v>128</v>
      </c>
      <c r="I88" s="73">
        <f t="shared" si="48"/>
        <v>1</v>
      </c>
      <c r="J88" s="73"/>
      <c r="K88" s="73"/>
      <c r="L88" s="73"/>
      <c r="M88" s="73"/>
      <c r="N88" s="73"/>
      <c r="O88" s="73"/>
      <c r="P88" s="73"/>
      <c r="Q88" s="73"/>
      <c r="R88" s="73"/>
      <c r="S88" s="74"/>
      <c r="T88" s="75"/>
      <c r="U88" s="78"/>
      <c r="Y88" s="73" t="s">
        <v>74</v>
      </c>
      <c r="AA88" s="80">
        <f t="shared" ref="AA88:AA97" si="49">IFERROR(IF(Y88="M",I88+J88+K88+L88+M88+N88,),0)</f>
        <v>0</v>
      </c>
      <c r="AB88" s="80">
        <f t="shared" ref="AB88:AB97" si="50">IFERROR(IF(Y88="KS",I88+J88+K88+L88+M88+N88,),0)</f>
        <v>0</v>
      </c>
      <c r="AC88" s="80">
        <f t="shared" ref="AC88:AC97" si="51">IFERROR(IF(Y88="KM",I88+J88+K88+L88+M88+N88,),0)</f>
        <v>0</v>
      </c>
    </row>
    <row r="89" spans="2:29" s="71" customFormat="1" x14ac:dyDescent="0.3">
      <c r="B89" s="72" t="s">
        <v>126</v>
      </c>
      <c r="C89" s="71" t="s">
        <v>76</v>
      </c>
      <c r="D89" s="79">
        <v>1</v>
      </c>
      <c r="E89" s="2" t="s">
        <v>129</v>
      </c>
      <c r="F89" s="2" t="s">
        <v>128</v>
      </c>
      <c r="I89" s="73">
        <f t="shared" si="48"/>
        <v>1</v>
      </c>
      <c r="J89" s="73"/>
      <c r="K89" s="73"/>
      <c r="L89" s="73"/>
      <c r="M89" s="73"/>
      <c r="N89" s="73"/>
      <c r="O89" s="73"/>
      <c r="P89" s="73"/>
      <c r="Q89" s="73"/>
      <c r="R89" s="73"/>
      <c r="S89" s="74"/>
      <c r="T89" s="75"/>
      <c r="U89" s="78"/>
      <c r="Y89" s="73" t="s">
        <v>74</v>
      </c>
      <c r="AA89" s="80">
        <f t="shared" si="49"/>
        <v>0</v>
      </c>
      <c r="AB89" s="80">
        <f t="shared" si="50"/>
        <v>0</v>
      </c>
      <c r="AC89" s="80">
        <f t="shared" si="51"/>
        <v>0</v>
      </c>
    </row>
    <row r="90" spans="2:29" s="71" customFormat="1" x14ac:dyDescent="0.3">
      <c r="B90" s="72" t="s">
        <v>126</v>
      </c>
      <c r="C90" s="71" t="s">
        <v>76</v>
      </c>
      <c r="D90" s="79">
        <v>1</v>
      </c>
      <c r="E90" s="2" t="s">
        <v>130</v>
      </c>
      <c r="F90" s="2" t="s">
        <v>128</v>
      </c>
      <c r="I90" s="73">
        <f t="shared" si="48"/>
        <v>1</v>
      </c>
      <c r="J90" s="73"/>
      <c r="K90" s="73"/>
      <c r="L90" s="73"/>
      <c r="M90" s="73"/>
      <c r="N90" s="73"/>
      <c r="O90" s="73"/>
      <c r="P90" s="73"/>
      <c r="Q90" s="73"/>
      <c r="R90" s="73"/>
      <c r="S90" s="74"/>
      <c r="T90" s="75"/>
      <c r="U90" s="78"/>
      <c r="Y90" s="73" t="s">
        <v>74</v>
      </c>
      <c r="AA90" s="80">
        <f t="shared" si="49"/>
        <v>0</v>
      </c>
      <c r="AB90" s="80">
        <f t="shared" si="50"/>
        <v>0</v>
      </c>
      <c r="AC90" s="80">
        <f t="shared" si="51"/>
        <v>0</v>
      </c>
    </row>
    <row r="91" spans="2:29" s="71" customFormat="1" x14ac:dyDescent="0.3">
      <c r="B91" s="72" t="s">
        <v>126</v>
      </c>
      <c r="C91" s="71" t="s">
        <v>76</v>
      </c>
      <c r="D91" s="79">
        <v>1</v>
      </c>
      <c r="E91" s="2" t="s">
        <v>131</v>
      </c>
      <c r="F91" s="2" t="s">
        <v>128</v>
      </c>
      <c r="I91" s="73">
        <f t="shared" si="48"/>
        <v>1</v>
      </c>
      <c r="J91" s="73"/>
      <c r="K91" s="73"/>
      <c r="L91" s="73"/>
      <c r="M91" s="73"/>
      <c r="N91" s="73"/>
      <c r="O91" s="73"/>
      <c r="P91" s="73"/>
      <c r="Q91" s="73"/>
      <c r="R91" s="73"/>
      <c r="S91" s="74"/>
      <c r="T91" s="75"/>
      <c r="U91" s="78"/>
      <c r="Y91" s="73" t="s">
        <v>74</v>
      </c>
      <c r="AA91" s="80">
        <f t="shared" si="49"/>
        <v>0</v>
      </c>
      <c r="AB91" s="80">
        <f t="shared" si="50"/>
        <v>0</v>
      </c>
      <c r="AC91" s="80">
        <f t="shared" si="51"/>
        <v>0</v>
      </c>
    </row>
    <row r="92" spans="2:29" s="71" customFormat="1" x14ac:dyDescent="0.3">
      <c r="B92" s="72" t="s">
        <v>126</v>
      </c>
      <c r="C92" s="71" t="s">
        <v>76</v>
      </c>
      <c r="D92" s="79">
        <v>1</v>
      </c>
      <c r="E92" s="2" t="s">
        <v>132</v>
      </c>
      <c r="F92" s="2" t="s">
        <v>128</v>
      </c>
      <c r="I92" s="73">
        <f t="shared" si="48"/>
        <v>1</v>
      </c>
      <c r="J92" s="73"/>
      <c r="K92" s="73"/>
      <c r="L92" s="73"/>
      <c r="M92" s="73"/>
      <c r="N92" s="73"/>
      <c r="O92" s="73"/>
      <c r="P92" s="73"/>
      <c r="Q92" s="73"/>
      <c r="R92" s="73"/>
      <c r="S92" s="74"/>
      <c r="T92" s="75"/>
      <c r="U92" s="78"/>
      <c r="Y92" s="73" t="s">
        <v>74</v>
      </c>
      <c r="AA92" s="80">
        <f t="shared" si="49"/>
        <v>0</v>
      </c>
      <c r="AB92" s="80">
        <f t="shared" si="50"/>
        <v>0</v>
      </c>
      <c r="AC92" s="80">
        <f t="shared" si="51"/>
        <v>0</v>
      </c>
    </row>
    <row r="93" spans="2:29" s="71" customFormat="1" x14ac:dyDescent="0.3">
      <c r="B93" s="72" t="s">
        <v>126</v>
      </c>
      <c r="C93" s="71" t="s">
        <v>133</v>
      </c>
      <c r="D93" s="79">
        <v>1</v>
      </c>
      <c r="E93" s="2" t="s">
        <v>134</v>
      </c>
      <c r="F93" s="2"/>
      <c r="G93" s="71" t="s">
        <v>135</v>
      </c>
      <c r="I93" s="73"/>
      <c r="J93" s="73"/>
      <c r="K93" s="73"/>
      <c r="L93" s="73">
        <f>ROUND($D93*1,)</f>
        <v>1</v>
      </c>
      <c r="M93" s="73"/>
      <c r="N93" s="73"/>
      <c r="O93" s="73"/>
      <c r="P93" s="73"/>
      <c r="Q93" s="73"/>
      <c r="R93" s="73"/>
      <c r="S93" s="74"/>
      <c r="T93" s="75"/>
      <c r="U93" s="78"/>
      <c r="Y93" s="73" t="s">
        <v>74</v>
      </c>
      <c r="AA93" s="80">
        <f t="shared" si="49"/>
        <v>0</v>
      </c>
      <c r="AB93" s="80">
        <f t="shared" si="50"/>
        <v>0</v>
      </c>
      <c r="AC93" s="80">
        <f t="shared" si="51"/>
        <v>0</v>
      </c>
    </row>
    <row r="94" spans="2:29" s="71" customFormat="1" x14ac:dyDescent="0.3">
      <c r="B94" s="72" t="s">
        <v>126</v>
      </c>
      <c r="C94" s="71" t="s">
        <v>76</v>
      </c>
      <c r="D94" s="79">
        <v>1</v>
      </c>
      <c r="E94" s="2" t="s">
        <v>136</v>
      </c>
      <c r="F94" s="2" t="s">
        <v>128</v>
      </c>
      <c r="I94" s="73">
        <f t="shared" si="48"/>
        <v>1</v>
      </c>
      <c r="J94" s="73"/>
      <c r="K94" s="73"/>
      <c r="L94" s="73"/>
      <c r="M94" s="73"/>
      <c r="N94" s="73"/>
      <c r="O94" s="73"/>
      <c r="P94" s="73"/>
      <c r="Q94" s="73"/>
      <c r="R94" s="73"/>
      <c r="S94" s="74"/>
      <c r="T94" s="75"/>
      <c r="U94" s="78"/>
      <c r="Y94" s="73" t="s">
        <v>74</v>
      </c>
      <c r="AA94" s="80">
        <f t="shared" si="49"/>
        <v>0</v>
      </c>
      <c r="AB94" s="80">
        <f t="shared" si="50"/>
        <v>0</v>
      </c>
      <c r="AC94" s="80">
        <f t="shared" si="51"/>
        <v>0</v>
      </c>
    </row>
    <row r="95" spans="2:29" s="71" customFormat="1" x14ac:dyDescent="0.3">
      <c r="B95" s="72" t="s">
        <v>126</v>
      </c>
      <c r="C95" s="71" t="s">
        <v>133</v>
      </c>
      <c r="D95" s="79">
        <v>1</v>
      </c>
      <c r="E95" s="2" t="s">
        <v>134</v>
      </c>
      <c r="F95" s="2"/>
      <c r="G95" s="71" t="s">
        <v>135</v>
      </c>
      <c r="I95" s="73"/>
      <c r="J95" s="73"/>
      <c r="K95" s="73"/>
      <c r="L95" s="73">
        <f>ROUND($D95*1,)</f>
        <v>1</v>
      </c>
      <c r="M95" s="73"/>
      <c r="N95" s="73"/>
      <c r="O95" s="73"/>
      <c r="P95" s="73"/>
      <c r="Q95" s="73"/>
      <c r="R95" s="73"/>
      <c r="S95" s="74"/>
      <c r="T95" s="75"/>
      <c r="U95" s="78"/>
      <c r="Y95" s="73" t="s">
        <v>74</v>
      </c>
      <c r="AA95" s="80">
        <f t="shared" si="49"/>
        <v>0</v>
      </c>
      <c r="AB95" s="80">
        <f t="shared" si="50"/>
        <v>0</v>
      </c>
      <c r="AC95" s="80">
        <f t="shared" si="51"/>
        <v>0</v>
      </c>
    </row>
    <row r="96" spans="2:29" s="71" customFormat="1" x14ac:dyDescent="0.3">
      <c r="B96" s="72" t="s">
        <v>126</v>
      </c>
      <c r="C96" s="71" t="s">
        <v>76</v>
      </c>
      <c r="D96" s="79">
        <v>1</v>
      </c>
      <c r="E96" s="2" t="s">
        <v>137</v>
      </c>
      <c r="F96" s="2" t="s">
        <v>128</v>
      </c>
      <c r="I96" s="73">
        <f t="shared" si="48"/>
        <v>1</v>
      </c>
      <c r="J96" s="73"/>
      <c r="K96" s="73"/>
      <c r="L96" s="73"/>
      <c r="M96" s="73"/>
      <c r="N96" s="73"/>
      <c r="O96" s="73"/>
      <c r="P96" s="73"/>
      <c r="Q96" s="73"/>
      <c r="R96" s="73"/>
      <c r="S96" s="74"/>
      <c r="T96" s="75"/>
      <c r="U96" s="78"/>
      <c r="Y96" s="73" t="s">
        <v>74</v>
      </c>
      <c r="AA96" s="80">
        <f t="shared" si="49"/>
        <v>0</v>
      </c>
      <c r="AB96" s="80">
        <f t="shared" si="50"/>
        <v>0</v>
      </c>
      <c r="AC96" s="80">
        <f t="shared" si="51"/>
        <v>0</v>
      </c>
    </row>
    <row r="97" spans="2:29" s="71" customFormat="1" x14ac:dyDescent="0.3">
      <c r="B97" s="72" t="s">
        <v>126</v>
      </c>
      <c r="C97" s="71" t="s">
        <v>133</v>
      </c>
      <c r="D97" s="79">
        <v>1</v>
      </c>
      <c r="E97" s="2" t="s">
        <v>134</v>
      </c>
      <c r="F97" s="2"/>
      <c r="G97" s="71" t="s">
        <v>135</v>
      </c>
      <c r="I97" s="73"/>
      <c r="J97" s="73"/>
      <c r="K97" s="73"/>
      <c r="L97" s="73">
        <f>ROUND($D97*1,)</f>
        <v>1</v>
      </c>
      <c r="M97" s="73"/>
      <c r="N97" s="73"/>
      <c r="O97" s="73"/>
      <c r="P97" s="73"/>
      <c r="Q97" s="73"/>
      <c r="R97" s="73"/>
      <c r="S97" s="74"/>
      <c r="T97" s="75"/>
      <c r="U97" s="78"/>
      <c r="Y97" s="73" t="s">
        <v>74</v>
      </c>
      <c r="AA97" s="80">
        <f t="shared" si="49"/>
        <v>0</v>
      </c>
      <c r="AB97" s="80">
        <f t="shared" si="50"/>
        <v>0</v>
      </c>
      <c r="AC97" s="80">
        <f t="shared" si="51"/>
        <v>0</v>
      </c>
    </row>
    <row r="98" spans="2:29" s="71" customFormat="1" x14ac:dyDescent="0.3">
      <c r="B98" s="72" t="s">
        <v>126</v>
      </c>
      <c r="C98" s="71" t="s">
        <v>138</v>
      </c>
      <c r="D98" s="79">
        <v>3</v>
      </c>
      <c r="E98" s="2" t="s">
        <v>139</v>
      </c>
      <c r="F98" s="2"/>
      <c r="G98" s="71" t="s">
        <v>140</v>
      </c>
      <c r="I98" s="73">
        <f>ROUND($D98*1,)</f>
        <v>3</v>
      </c>
      <c r="J98" s="73"/>
      <c r="K98" s="73"/>
      <c r="L98" s="73"/>
      <c r="M98" s="73"/>
      <c r="N98" s="73"/>
      <c r="O98" s="73"/>
      <c r="P98" s="73"/>
      <c r="Q98" s="73"/>
      <c r="R98" s="73"/>
      <c r="S98" s="74"/>
      <c r="T98" s="75"/>
      <c r="U98" s="78"/>
      <c r="Y98" s="73" t="s">
        <v>74</v>
      </c>
      <c r="AA98" s="80">
        <f>IFERROR(IF(Y98="M",I98+J98+K98+L98+M98+N98,),0)</f>
        <v>0</v>
      </c>
      <c r="AB98" s="80">
        <f>IFERROR(IF(Y98="KS",I98+J98+K98+L98+M98+N98,),0)</f>
        <v>0</v>
      </c>
      <c r="AC98" s="80">
        <f>IFERROR(IF(Y98="KM",I98+J98+K98+L98+M98+N98,),0)</f>
        <v>0</v>
      </c>
    </row>
    <row r="99" spans="2:29" s="71" customFormat="1" x14ac:dyDescent="0.3">
      <c r="B99" s="72" t="s">
        <v>126</v>
      </c>
      <c r="C99" s="71" t="s">
        <v>124</v>
      </c>
      <c r="D99" s="79">
        <v>2</v>
      </c>
      <c r="E99" s="2" t="s">
        <v>141</v>
      </c>
      <c r="F99" s="2" t="s">
        <v>128</v>
      </c>
      <c r="I99" s="73">
        <f t="shared" si="48"/>
        <v>2</v>
      </c>
      <c r="J99" s="73"/>
      <c r="K99" s="73"/>
      <c r="L99" s="73"/>
      <c r="M99" s="73"/>
      <c r="N99" s="73"/>
      <c r="O99" s="73"/>
      <c r="P99" s="73"/>
      <c r="Q99" s="73"/>
      <c r="R99" s="73"/>
      <c r="S99" s="74"/>
      <c r="T99" s="75"/>
      <c r="U99" s="78"/>
      <c r="Y99" s="73"/>
      <c r="AA99" s="80"/>
      <c r="AB99" s="80"/>
      <c r="AC99" s="80"/>
    </row>
    <row r="100" spans="2:29" s="71" customFormat="1" x14ac:dyDescent="0.3">
      <c r="B100" s="72"/>
      <c r="D100" s="79">
        <v>1</v>
      </c>
      <c r="E100" s="2" t="s">
        <v>142</v>
      </c>
      <c r="F100" s="2"/>
      <c r="I100" s="73"/>
      <c r="J100" s="73"/>
      <c r="K100" s="73"/>
      <c r="L100" s="73"/>
      <c r="M100" s="73"/>
      <c r="N100" s="73"/>
      <c r="O100" s="73">
        <v>20</v>
      </c>
      <c r="P100" s="73">
        <v>10</v>
      </c>
      <c r="Q100" s="73" t="s">
        <v>143</v>
      </c>
      <c r="R100" s="73" t="s">
        <v>144</v>
      </c>
      <c r="S100" s="74"/>
      <c r="T100" s="75"/>
      <c r="U100" s="78"/>
      <c r="Y100" s="73"/>
      <c r="Z100" s="81" t="str">
        <f t="shared" ref="Z100" si="52">Q100&amp;R100</f>
        <v>BACnet IP ClientIP</v>
      </c>
    </row>
    <row r="101" spans="2:29" s="71" customFormat="1" x14ac:dyDescent="0.3">
      <c r="B101" s="72">
        <v>502</v>
      </c>
      <c r="C101" s="71" t="s">
        <v>145</v>
      </c>
      <c r="D101" s="79">
        <v>1</v>
      </c>
      <c r="E101" s="2" t="s">
        <v>146</v>
      </c>
      <c r="F101" s="2"/>
      <c r="G101" s="71" t="s">
        <v>147</v>
      </c>
      <c r="I101" s="73"/>
      <c r="J101" s="73"/>
      <c r="K101" s="73"/>
      <c r="L101" s="73"/>
      <c r="M101" s="73"/>
      <c r="N101" s="73"/>
      <c r="O101" s="73"/>
      <c r="P101" s="73">
        <v>8</v>
      </c>
      <c r="Q101" s="73" t="s">
        <v>70</v>
      </c>
      <c r="R101" s="73" t="s">
        <v>148</v>
      </c>
      <c r="S101" s="74"/>
      <c r="T101" s="75"/>
      <c r="U101" s="78"/>
      <c r="V101" s="82"/>
      <c r="Y101" s="73"/>
      <c r="Z101" s="81" t="str">
        <f>Q101&amp;R101</f>
        <v>Modbus RTU MRS485-1</v>
      </c>
    </row>
    <row r="102" spans="2:29" s="71" customFormat="1" x14ac:dyDescent="0.3">
      <c r="B102" s="72"/>
      <c r="D102" s="72"/>
      <c r="E102" s="2"/>
      <c r="F102" s="2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4"/>
      <c r="T102" s="75"/>
      <c r="U102" s="78"/>
      <c r="Y102" s="73"/>
    </row>
    <row r="103" spans="2:29" s="71" customFormat="1" x14ac:dyDescent="0.3">
      <c r="B103" s="72"/>
      <c r="D103" s="72"/>
      <c r="E103" s="76" t="s">
        <v>149</v>
      </c>
      <c r="F103" s="77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4"/>
      <c r="T103" s="75"/>
      <c r="U103" s="78"/>
      <c r="Y103" s="73"/>
    </row>
    <row r="104" spans="2:29" s="71" customFormat="1" x14ac:dyDescent="0.3">
      <c r="B104" s="72">
        <v>703</v>
      </c>
      <c r="C104" s="71" t="s">
        <v>150</v>
      </c>
      <c r="D104" s="79">
        <v>1</v>
      </c>
      <c r="E104" s="2" t="s">
        <v>151</v>
      </c>
      <c r="F104" s="2" t="s">
        <v>152</v>
      </c>
      <c r="I104" s="73">
        <f>ROUND($D104*1,)</f>
        <v>1</v>
      </c>
      <c r="J104" s="73"/>
      <c r="K104" s="73"/>
      <c r="L104" s="73"/>
      <c r="M104" s="73"/>
      <c r="N104" s="73"/>
      <c r="O104" s="73"/>
      <c r="P104" s="73"/>
      <c r="Q104" s="73"/>
      <c r="R104" s="73"/>
      <c r="S104" s="74"/>
      <c r="T104" s="75"/>
      <c r="U104" s="78"/>
      <c r="Y104" s="73" t="s">
        <v>74</v>
      </c>
      <c r="AA104" s="80">
        <f>IFERROR(IF(Y104="M",I104+J104+K104+L104+M104+N104,),0)</f>
        <v>0</v>
      </c>
      <c r="AB104" s="80">
        <f>IFERROR(IF(Y104="KS",I104+J104+K104+L104+M104+N104,),0)</f>
        <v>0</v>
      </c>
      <c r="AC104" s="80">
        <f>IFERROR(IF(Y104="KM",I104+J104+K104+L104+M104+N104,),0)</f>
        <v>0</v>
      </c>
    </row>
    <row r="105" spans="2:29" s="71" customFormat="1" x14ac:dyDescent="0.3">
      <c r="B105" s="72">
        <v>702</v>
      </c>
      <c r="C105" s="71" t="s">
        <v>153</v>
      </c>
      <c r="D105" s="79">
        <v>20</v>
      </c>
      <c r="E105" s="2" t="s">
        <v>154</v>
      </c>
      <c r="F105" s="2" t="s">
        <v>152</v>
      </c>
      <c r="I105" s="73"/>
      <c r="J105" s="73"/>
      <c r="K105" s="73"/>
      <c r="L105" s="73"/>
      <c r="M105" s="73"/>
      <c r="N105" s="73"/>
      <c r="O105" s="73">
        <f>ROUND($D105*2,)</f>
        <v>40</v>
      </c>
      <c r="P105" s="73"/>
      <c r="Q105" s="73" t="s">
        <v>70</v>
      </c>
      <c r="R105" s="73" t="s">
        <v>148</v>
      </c>
      <c r="S105" s="74"/>
      <c r="T105" s="75"/>
      <c r="U105" s="78"/>
      <c r="Y105" s="73"/>
      <c r="Z105" s="81" t="str">
        <f t="shared" ref="Z105" si="53">Q105&amp;R105</f>
        <v>Modbus RTU MRS485-1</v>
      </c>
    </row>
    <row r="106" spans="2:29" s="71" customFormat="1" x14ac:dyDescent="0.3">
      <c r="B106" s="72"/>
      <c r="D106" s="72"/>
      <c r="E106" s="2"/>
      <c r="F106" s="2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4"/>
      <c r="T106" s="75"/>
      <c r="U106" s="78"/>
      <c r="Y106" s="73"/>
    </row>
    <row r="107" spans="2:29" s="71" customFormat="1" x14ac:dyDescent="0.3">
      <c r="B107" s="72"/>
      <c r="D107" s="79">
        <v>1</v>
      </c>
      <c r="E107" s="2" t="s">
        <v>155</v>
      </c>
      <c r="F107" s="2" t="s">
        <v>156</v>
      </c>
      <c r="H107" s="2" t="s">
        <v>78</v>
      </c>
      <c r="I107" s="73"/>
      <c r="J107" s="73"/>
      <c r="K107" s="73"/>
      <c r="L107" s="73"/>
      <c r="M107" s="73"/>
      <c r="N107" s="73"/>
      <c r="O107" s="73" t="s">
        <v>116</v>
      </c>
      <c r="P107" s="73" t="s">
        <v>116</v>
      </c>
      <c r="Q107" s="73" t="s">
        <v>157</v>
      </c>
      <c r="R107" s="73" t="s">
        <v>158</v>
      </c>
      <c r="S107" s="74"/>
      <c r="T107" s="75"/>
      <c r="U107" s="78"/>
      <c r="Y107" s="73"/>
      <c r="Z107" s="81" t="str">
        <f>Q107&amp;R107</f>
        <v>Comforte CXRS485-3</v>
      </c>
    </row>
    <row r="108" spans="2:29" s="71" customFormat="1" x14ac:dyDescent="0.3">
      <c r="B108" s="72"/>
      <c r="D108" s="79"/>
      <c r="E108" s="2"/>
      <c r="F108" s="2"/>
      <c r="H108" s="2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4"/>
      <c r="T108" s="75"/>
      <c r="U108" s="78"/>
      <c r="Y108" s="73"/>
      <c r="Z108" s="81"/>
    </row>
    <row r="109" spans="2:29" s="71" customFormat="1" x14ac:dyDescent="0.3">
      <c r="B109" s="72"/>
      <c r="D109" s="72"/>
      <c r="E109" s="76" t="s">
        <v>159</v>
      </c>
      <c r="F109" s="77"/>
      <c r="G109" s="77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4"/>
      <c r="T109" s="75"/>
      <c r="U109" s="78"/>
      <c r="Y109" s="73"/>
    </row>
    <row r="110" spans="2:29" s="71" customFormat="1" x14ac:dyDescent="0.3">
      <c r="B110" s="72" t="s">
        <v>126</v>
      </c>
      <c r="C110" s="71" t="s">
        <v>138</v>
      </c>
      <c r="D110" s="79">
        <v>1</v>
      </c>
      <c r="E110" s="2" t="s">
        <v>139</v>
      </c>
      <c r="F110" s="2"/>
      <c r="G110" s="71" t="s">
        <v>140</v>
      </c>
      <c r="I110" s="73">
        <f>ROUND($D110*1,)</f>
        <v>1</v>
      </c>
      <c r="J110" s="73"/>
      <c r="K110" s="73"/>
      <c r="L110" s="73"/>
      <c r="M110" s="73"/>
      <c r="N110" s="73"/>
      <c r="O110" s="73"/>
      <c r="P110" s="73"/>
      <c r="Q110" s="73"/>
      <c r="R110" s="73"/>
      <c r="S110" s="74"/>
      <c r="T110" s="75"/>
      <c r="U110" s="78"/>
      <c r="Y110" s="73" t="s">
        <v>74</v>
      </c>
      <c r="AA110" s="80">
        <f>IFERROR(IF(Y110="M",I110+J110+K110+L110+M110+N110,),0)</f>
        <v>0</v>
      </c>
      <c r="AB110" s="80">
        <f>IFERROR(IF(Y110="KS",I110+J110+K110+L110+M110+N110,),0)</f>
        <v>0</v>
      </c>
      <c r="AC110" s="80">
        <f>IFERROR(IF(Y110="KM",I110+J110+K110+L110+M110+N110,),0)</f>
        <v>0</v>
      </c>
    </row>
    <row r="111" spans="2:29" s="71" customFormat="1" x14ac:dyDescent="0.3">
      <c r="B111" s="72">
        <v>901</v>
      </c>
      <c r="C111" s="71" t="s">
        <v>160</v>
      </c>
      <c r="D111" s="79">
        <v>1</v>
      </c>
      <c r="E111" s="2" t="s">
        <v>161</v>
      </c>
      <c r="F111" s="2"/>
      <c r="H111" s="71" t="s">
        <v>331</v>
      </c>
      <c r="I111" s="73"/>
      <c r="J111" s="73">
        <v>1</v>
      </c>
      <c r="K111" s="73"/>
      <c r="L111" s="73"/>
      <c r="M111" s="73"/>
      <c r="N111" s="73"/>
      <c r="O111" s="73"/>
      <c r="P111" s="73"/>
      <c r="Q111" s="73"/>
      <c r="R111" s="73"/>
      <c r="S111" s="74"/>
      <c r="T111" s="73"/>
      <c r="U111" s="78"/>
      <c r="Y111" s="73" t="s">
        <v>74</v>
      </c>
      <c r="AA111" s="80">
        <f>IFERROR(IF(Y111="M",I111+J111+K111+L111+M111+N111,),0)</f>
        <v>0</v>
      </c>
      <c r="AB111" s="80">
        <f>IFERROR(IF(Y111="KS",I111+J111+K111+L111+M111+N111,),0)</f>
        <v>0</v>
      </c>
      <c r="AC111" s="80">
        <f>IFERROR(IF(Y111="KM",I111+J111+K111+L111+M111+N111,),0)</f>
        <v>0</v>
      </c>
    </row>
    <row r="112" spans="2:29" s="71" customFormat="1" x14ac:dyDescent="0.3">
      <c r="B112" s="72">
        <v>901</v>
      </c>
      <c r="C112" s="71" t="s">
        <v>163</v>
      </c>
      <c r="D112" s="79">
        <v>1</v>
      </c>
      <c r="E112" s="2" t="s">
        <v>164</v>
      </c>
      <c r="F112" s="2"/>
      <c r="H112" s="71" t="s">
        <v>162</v>
      </c>
      <c r="I112" s="73"/>
      <c r="J112" s="73">
        <v>1</v>
      </c>
      <c r="K112" s="73"/>
      <c r="L112" s="73"/>
      <c r="M112" s="73"/>
      <c r="N112" s="73"/>
      <c r="O112" s="73"/>
      <c r="P112" s="73"/>
      <c r="Q112" s="73"/>
      <c r="R112" s="73"/>
      <c r="S112" s="74"/>
      <c r="T112" s="73"/>
      <c r="U112" s="78"/>
      <c r="Y112" s="73" t="s">
        <v>74</v>
      </c>
      <c r="AA112" s="80">
        <f>IFERROR(IF(Y112="M",I112+J112+K112+L112+M112+N112,),0)</f>
        <v>0</v>
      </c>
      <c r="AB112" s="80">
        <f>IFERROR(IF(Y112="KS",I112+J112+K112+L112+M112+N112,),0)</f>
        <v>0</v>
      </c>
      <c r="AC112" s="80">
        <f>IFERROR(IF(Y112="KM",I112+J112+K112+L112+M112+N112,),0)</f>
        <v>0</v>
      </c>
    </row>
    <row r="113" spans="2:29" s="71" customFormat="1" x14ac:dyDescent="0.3">
      <c r="B113" s="72">
        <v>901</v>
      </c>
      <c r="C113" s="71" t="s">
        <v>165</v>
      </c>
      <c r="D113" s="79">
        <v>1</v>
      </c>
      <c r="E113" s="2" t="s">
        <v>166</v>
      </c>
      <c r="F113" s="2"/>
      <c r="H113" s="71" t="s">
        <v>167</v>
      </c>
      <c r="I113" s="73">
        <f>ROUND($D113*1,)</f>
        <v>1</v>
      </c>
      <c r="J113" s="73"/>
      <c r="K113" s="73"/>
      <c r="L113" s="73"/>
      <c r="M113" s="73"/>
      <c r="N113" s="73"/>
      <c r="O113" s="73"/>
      <c r="P113" s="73"/>
      <c r="Q113" s="73"/>
      <c r="R113" s="73"/>
      <c r="S113" s="74"/>
      <c r="T113" s="73"/>
      <c r="U113" s="78"/>
      <c r="Y113" s="73" t="s">
        <v>74</v>
      </c>
      <c r="AA113" s="80">
        <f t="shared" ref="AA113:AA117" si="54">IFERROR(IF(Y113="M",I113+J113+K113+L113+M113+N113,),0)</f>
        <v>0</v>
      </c>
      <c r="AB113" s="80">
        <f t="shared" ref="AB113:AB117" si="55">IFERROR(IF(Y113="KS",I113+J113+K113+L113+M113+N113,),0)</f>
        <v>0</v>
      </c>
      <c r="AC113" s="80">
        <f t="shared" ref="AC113:AC117" si="56">IFERROR(IF(Y113="KM",I113+J113+K113+L113+M113+N113,),0)</f>
        <v>0</v>
      </c>
    </row>
    <row r="114" spans="2:29" s="71" customFormat="1" x14ac:dyDescent="0.3">
      <c r="B114" s="72">
        <v>901</v>
      </c>
      <c r="C114" s="71" t="s">
        <v>168</v>
      </c>
      <c r="D114" s="79">
        <v>1</v>
      </c>
      <c r="E114" s="2" t="s">
        <v>169</v>
      </c>
      <c r="F114" s="2"/>
      <c r="I114" s="73"/>
      <c r="J114" s="73"/>
      <c r="K114" s="73">
        <f>ROUND($D114*1,)</f>
        <v>1</v>
      </c>
      <c r="L114" s="73"/>
      <c r="M114" s="73"/>
      <c r="N114" s="73"/>
      <c r="O114" s="73"/>
      <c r="P114" s="73"/>
      <c r="Q114" s="73"/>
      <c r="R114" s="73"/>
      <c r="S114" s="74"/>
      <c r="T114" s="73"/>
      <c r="U114" s="78"/>
      <c r="Y114" s="73" t="s">
        <v>74</v>
      </c>
      <c r="AA114" s="80">
        <f t="shared" si="54"/>
        <v>0</v>
      </c>
      <c r="AB114" s="80">
        <f t="shared" si="55"/>
        <v>0</v>
      </c>
      <c r="AC114" s="80">
        <f t="shared" si="56"/>
        <v>0</v>
      </c>
    </row>
    <row r="115" spans="2:29" s="71" customFormat="1" x14ac:dyDescent="0.3">
      <c r="B115" s="72">
        <v>901</v>
      </c>
      <c r="C115" s="71" t="s">
        <v>124</v>
      </c>
      <c r="D115" s="79">
        <v>1</v>
      </c>
      <c r="E115" s="2" t="s">
        <v>170</v>
      </c>
      <c r="F115" s="2"/>
      <c r="H115" s="71" t="s">
        <v>44</v>
      </c>
      <c r="I115" s="73">
        <f>ROUND($D115*1,)</f>
        <v>1</v>
      </c>
      <c r="J115" s="73"/>
      <c r="K115" s="73"/>
      <c r="L115" s="73"/>
      <c r="M115" s="73"/>
      <c r="N115" s="73"/>
      <c r="O115" s="73"/>
      <c r="P115" s="73"/>
      <c r="Q115" s="73"/>
      <c r="R115" s="73"/>
      <c r="S115" s="74"/>
      <c r="T115" s="73"/>
      <c r="U115" s="78"/>
      <c r="Y115" s="73" t="s">
        <v>74</v>
      </c>
      <c r="AA115" s="80">
        <f t="shared" si="54"/>
        <v>0</v>
      </c>
      <c r="AB115" s="80">
        <f t="shared" si="55"/>
        <v>0</v>
      </c>
      <c r="AC115" s="80">
        <f t="shared" si="56"/>
        <v>0</v>
      </c>
    </row>
    <row r="116" spans="2:29" s="71" customFormat="1" x14ac:dyDescent="0.3">
      <c r="B116" s="72">
        <v>901</v>
      </c>
      <c r="C116" s="71" t="s">
        <v>171</v>
      </c>
      <c r="D116" s="79">
        <v>1</v>
      </c>
      <c r="E116" s="2" t="s">
        <v>172</v>
      </c>
      <c r="F116" s="2"/>
      <c r="I116" s="73">
        <f>ROUND($D116*2,)</f>
        <v>2</v>
      </c>
      <c r="J116" s="73"/>
      <c r="K116" s="73"/>
      <c r="L116" s="73"/>
      <c r="M116" s="73"/>
      <c r="N116" s="73"/>
      <c r="O116" s="73"/>
      <c r="P116" s="73"/>
      <c r="Q116" s="73"/>
      <c r="R116" s="73"/>
      <c r="S116" s="74"/>
      <c r="T116" s="73"/>
      <c r="U116" s="78"/>
      <c r="Y116" s="73" t="s">
        <v>74</v>
      </c>
      <c r="AA116" s="80">
        <f t="shared" si="54"/>
        <v>0</v>
      </c>
      <c r="AB116" s="80">
        <f t="shared" si="55"/>
        <v>0</v>
      </c>
      <c r="AC116" s="80">
        <f t="shared" si="56"/>
        <v>0</v>
      </c>
    </row>
    <row r="117" spans="2:29" s="71" customFormat="1" x14ac:dyDescent="0.3">
      <c r="B117" s="72">
        <v>901</v>
      </c>
      <c r="C117" s="71" t="s">
        <v>173</v>
      </c>
      <c r="D117" s="79">
        <v>1</v>
      </c>
      <c r="E117" s="2" t="s">
        <v>174</v>
      </c>
      <c r="F117" s="2"/>
      <c r="I117" s="73">
        <f>ROUND($D117*2,)</f>
        <v>2</v>
      </c>
      <c r="J117" s="73"/>
      <c r="K117" s="73"/>
      <c r="L117" s="73"/>
      <c r="M117" s="73"/>
      <c r="N117" s="73"/>
      <c r="O117" s="73"/>
      <c r="P117" s="73"/>
      <c r="Q117" s="73"/>
      <c r="R117" s="73"/>
      <c r="S117" s="74"/>
      <c r="T117" s="73"/>
      <c r="U117" s="78"/>
      <c r="Y117" s="73" t="s">
        <v>74</v>
      </c>
      <c r="AA117" s="80">
        <f t="shared" si="54"/>
        <v>0</v>
      </c>
      <c r="AB117" s="80">
        <f t="shared" si="55"/>
        <v>0</v>
      </c>
      <c r="AC117" s="80">
        <f t="shared" si="56"/>
        <v>0</v>
      </c>
    </row>
    <row r="118" spans="2:29" s="71" customFormat="1" x14ac:dyDescent="0.3">
      <c r="B118" s="72">
        <v>901</v>
      </c>
      <c r="C118" s="71" t="s">
        <v>175</v>
      </c>
      <c r="D118" s="79">
        <v>1</v>
      </c>
      <c r="E118" s="2" t="s">
        <v>176</v>
      </c>
      <c r="F118" s="2"/>
      <c r="H118" s="71" t="s">
        <v>176</v>
      </c>
      <c r="I118" s="73">
        <f>ROUND($D118*1,)</f>
        <v>1</v>
      </c>
      <c r="J118" s="73"/>
      <c r="K118" s="73"/>
      <c r="L118" s="73"/>
      <c r="M118" s="73"/>
      <c r="N118" s="73"/>
      <c r="O118" s="73"/>
      <c r="P118" s="73"/>
      <c r="Q118" s="73"/>
      <c r="R118" s="73"/>
      <c r="S118" s="74"/>
      <c r="T118" s="73"/>
      <c r="U118" s="78"/>
      <c r="Y118" s="73" t="s">
        <v>74</v>
      </c>
    </row>
    <row r="119" spans="2:29" s="71" customFormat="1" x14ac:dyDescent="0.3">
      <c r="B119" s="72">
        <v>901</v>
      </c>
      <c r="C119" s="71" t="s">
        <v>177</v>
      </c>
      <c r="D119" s="79">
        <v>1</v>
      </c>
      <c r="E119" s="2" t="s">
        <v>178</v>
      </c>
      <c r="F119" s="2"/>
      <c r="H119" s="71" t="s">
        <v>179</v>
      </c>
      <c r="I119" s="73">
        <f>ROUND($D119*1,)</f>
        <v>1</v>
      </c>
      <c r="J119" s="73"/>
      <c r="K119" s="73"/>
      <c r="L119" s="73"/>
      <c r="M119" s="73"/>
      <c r="N119" s="73"/>
      <c r="O119" s="73"/>
      <c r="P119" s="73"/>
      <c r="Q119" s="73"/>
      <c r="R119" s="73"/>
      <c r="S119" s="74"/>
      <c r="T119" s="73"/>
      <c r="U119" s="78"/>
      <c r="Y119" s="73" t="s">
        <v>74</v>
      </c>
    </row>
    <row r="120" spans="2:29" s="71" customFormat="1" x14ac:dyDescent="0.3">
      <c r="B120" s="72"/>
      <c r="D120" s="79"/>
      <c r="E120" s="2"/>
      <c r="F120" s="2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4"/>
      <c r="T120" s="73"/>
      <c r="U120" s="78"/>
      <c r="Y120" s="73"/>
    </row>
    <row r="121" spans="2:29" s="71" customFormat="1" x14ac:dyDescent="0.3">
      <c r="B121" s="72"/>
      <c r="D121" s="72"/>
      <c r="E121" s="76" t="s">
        <v>180</v>
      </c>
      <c r="F121" s="77"/>
      <c r="G121" s="77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4"/>
      <c r="T121" s="73"/>
      <c r="U121" s="78"/>
      <c r="Y121" s="73"/>
    </row>
    <row r="122" spans="2:29" s="71" customFormat="1" x14ac:dyDescent="0.3">
      <c r="B122" s="72"/>
      <c r="D122" s="79">
        <v>3</v>
      </c>
      <c r="E122" s="2" t="s">
        <v>181</v>
      </c>
      <c r="F122" s="2"/>
      <c r="G122" s="77"/>
      <c r="H122" s="71" t="s">
        <v>182</v>
      </c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4"/>
      <c r="T122" s="73">
        <v>230</v>
      </c>
      <c r="U122" s="78">
        <v>10</v>
      </c>
      <c r="Y122" s="73"/>
    </row>
    <row r="123" spans="2:29" s="71" customFormat="1" x14ac:dyDescent="0.3">
      <c r="B123" s="72"/>
      <c r="D123" s="79">
        <v>1</v>
      </c>
      <c r="E123" s="2" t="s">
        <v>183</v>
      </c>
      <c r="F123" s="2"/>
      <c r="G123" s="77"/>
      <c r="H123" s="71" t="s">
        <v>184</v>
      </c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4"/>
      <c r="T123" s="73"/>
      <c r="U123" s="78"/>
      <c r="Y123" s="73"/>
    </row>
    <row r="124" spans="2:29" s="71" customFormat="1" x14ac:dyDescent="0.3">
      <c r="B124" s="72"/>
      <c r="D124" s="79">
        <v>1</v>
      </c>
      <c r="E124" s="2" t="s">
        <v>185</v>
      </c>
      <c r="F124" s="2"/>
      <c r="G124" s="77"/>
      <c r="H124" s="71" t="s">
        <v>186</v>
      </c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4"/>
      <c r="T124" s="73"/>
      <c r="U124" s="78"/>
      <c r="Y124" s="73"/>
    </row>
    <row r="125" spans="2:29" s="71" customFormat="1" x14ac:dyDescent="0.3">
      <c r="B125" s="72"/>
      <c r="D125" s="79">
        <v>1</v>
      </c>
      <c r="E125" s="2" t="s">
        <v>187</v>
      </c>
      <c r="F125" s="2"/>
      <c r="G125" s="77"/>
      <c r="H125" s="71" t="s">
        <v>188</v>
      </c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4"/>
      <c r="T125" s="73"/>
      <c r="U125" s="78"/>
      <c r="Y125" s="73"/>
    </row>
    <row r="126" spans="2:29" s="71" customFormat="1" x14ac:dyDescent="0.3">
      <c r="B126" s="72"/>
      <c r="D126" s="79">
        <v>1</v>
      </c>
      <c r="E126" s="2" t="s">
        <v>189</v>
      </c>
      <c r="F126" s="2"/>
      <c r="G126" s="77"/>
      <c r="H126" s="71" t="s">
        <v>189</v>
      </c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4"/>
      <c r="T126" s="73"/>
      <c r="U126" s="78"/>
      <c r="Y126" s="73"/>
    </row>
    <row r="127" spans="2:29" s="71" customFormat="1" x14ac:dyDescent="0.3">
      <c r="B127" s="72"/>
      <c r="D127" s="79"/>
      <c r="E127" s="2"/>
      <c r="F127" s="2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4"/>
      <c r="T127" s="73"/>
      <c r="U127" s="78"/>
      <c r="Y127" s="73"/>
    </row>
    <row r="128" spans="2:29" s="71" customFormat="1" x14ac:dyDescent="0.3">
      <c r="B128" s="72"/>
      <c r="D128" s="72">
        <v>1</v>
      </c>
      <c r="E128" s="2" t="s">
        <v>190</v>
      </c>
      <c r="F128" s="2"/>
      <c r="G128" s="2"/>
      <c r="H128" s="71" t="s">
        <v>191</v>
      </c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4"/>
      <c r="T128" s="73"/>
      <c r="U128" s="78"/>
      <c r="Y128" s="73"/>
    </row>
    <row r="129" spans="2:29" s="71" customFormat="1" x14ac:dyDescent="0.3">
      <c r="B129" s="72"/>
      <c r="D129" s="72"/>
      <c r="E129" s="2"/>
      <c r="F129" s="2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4"/>
      <c r="T129" s="75"/>
      <c r="U129" s="78"/>
      <c r="Y129" s="73"/>
    </row>
    <row r="130" spans="2:29" s="71" customFormat="1" x14ac:dyDescent="0.3">
      <c r="B130" s="72"/>
      <c r="D130" s="72"/>
      <c r="E130" s="2"/>
      <c r="F130" s="2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4"/>
      <c r="T130" s="75"/>
      <c r="U130" s="78"/>
      <c r="Y130" s="73"/>
    </row>
    <row r="131" spans="2:29" s="71" customFormat="1" x14ac:dyDescent="0.3">
      <c r="B131" s="72"/>
      <c r="D131" s="72"/>
      <c r="E131" s="2"/>
      <c r="F131" s="2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4"/>
      <c r="T131" s="75"/>
      <c r="U131" s="78"/>
      <c r="Y131" s="73"/>
    </row>
    <row r="132" spans="2:29" s="71" customFormat="1" x14ac:dyDescent="0.3">
      <c r="B132" s="72"/>
      <c r="D132" s="79"/>
      <c r="E132" s="2"/>
      <c r="F132" s="2"/>
      <c r="G132" s="77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4"/>
      <c r="T132" s="75"/>
      <c r="U132" s="78"/>
      <c r="Y132" s="73"/>
      <c r="AA132" s="80"/>
      <c r="AB132" s="80"/>
      <c r="AC132" s="80"/>
    </row>
    <row r="133" spans="2:29" s="71" customFormat="1" x14ac:dyDescent="0.3">
      <c r="B133" s="72"/>
      <c r="D133" s="2"/>
      <c r="E133" s="2"/>
      <c r="F133" s="2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4"/>
      <c r="T133" s="75"/>
      <c r="U133" s="74"/>
      <c r="V133" s="73"/>
      <c r="W133" s="73"/>
      <c r="X133" s="73"/>
      <c r="Y133" s="73"/>
      <c r="Z133" s="1"/>
    </row>
    <row r="134" spans="2:29" s="71" customFormat="1" x14ac:dyDescent="0.3">
      <c r="B134" s="72"/>
      <c r="D134" s="72"/>
      <c r="E134" s="2" t="s">
        <v>117</v>
      </c>
      <c r="F134" s="8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4"/>
      <c r="T134" s="75"/>
      <c r="U134" s="78"/>
      <c r="Y134" s="73"/>
    </row>
    <row r="135" spans="2:29" s="71" customFormat="1" x14ac:dyDescent="0.3">
      <c r="B135" s="72"/>
      <c r="D135" s="84" t="s">
        <v>192</v>
      </c>
      <c r="E135" s="85"/>
      <c r="F135" s="2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4"/>
      <c r="T135" s="75"/>
      <c r="U135" s="74"/>
      <c r="V135" s="73"/>
      <c r="W135" s="73"/>
      <c r="X135" s="73"/>
      <c r="Y135" s="73"/>
      <c r="Z135" s="1"/>
    </row>
    <row r="136" spans="2:29" s="71" customFormat="1" x14ac:dyDescent="0.3">
      <c r="B136" s="72"/>
      <c r="D136" s="86" t="s">
        <v>193</v>
      </c>
      <c r="E136" s="87" t="s">
        <v>194</v>
      </c>
      <c r="F136" s="2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4"/>
      <c r="T136" s="75"/>
      <c r="U136" s="74"/>
      <c r="V136" s="73"/>
      <c r="W136" s="73"/>
      <c r="X136" s="73"/>
      <c r="Y136" s="73"/>
      <c r="Z136" s="1"/>
    </row>
    <row r="137" spans="2:29" s="71" customFormat="1" x14ac:dyDescent="0.3">
      <c r="B137" s="72"/>
      <c r="D137" s="88" t="s">
        <v>193</v>
      </c>
      <c r="E137" s="89" t="s">
        <v>195</v>
      </c>
      <c r="F137" s="77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4"/>
      <c r="T137" s="75"/>
      <c r="U137" s="74"/>
      <c r="V137" s="73"/>
      <c r="W137" s="73"/>
      <c r="X137" s="73"/>
      <c r="Y137" s="73"/>
      <c r="Z137" s="1"/>
    </row>
    <row r="138" spans="2:29" s="71" customFormat="1" x14ac:dyDescent="0.3">
      <c r="B138" s="72"/>
      <c r="D138" s="90" t="s">
        <v>193</v>
      </c>
      <c r="E138" s="91" t="s">
        <v>196</v>
      </c>
      <c r="F138" s="2"/>
      <c r="H138" s="2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4"/>
      <c r="T138" s="75"/>
      <c r="U138" s="74"/>
      <c r="V138" s="73"/>
      <c r="W138" s="73"/>
      <c r="X138" s="73"/>
      <c r="Y138" s="73"/>
      <c r="Z138" s="1"/>
    </row>
    <row r="139" spans="2:29" s="71" customFormat="1" x14ac:dyDescent="0.3">
      <c r="B139" s="72"/>
      <c r="D139" s="92" t="s">
        <v>193</v>
      </c>
      <c r="E139" s="93" t="s">
        <v>197</v>
      </c>
      <c r="F139" s="2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4"/>
      <c r="T139" s="75"/>
      <c r="U139" s="74"/>
      <c r="V139" s="73"/>
      <c r="W139" s="73"/>
      <c r="X139" s="73"/>
      <c r="Y139" s="73"/>
      <c r="Z139" s="1"/>
    </row>
    <row r="140" spans="2:29" s="71" customFormat="1" x14ac:dyDescent="0.3">
      <c r="B140" s="72"/>
      <c r="D140" s="2"/>
      <c r="E140" s="2"/>
      <c r="F140" s="2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4"/>
      <c r="T140" s="75"/>
      <c r="U140" s="74"/>
      <c r="V140" s="73"/>
      <c r="W140" s="73"/>
      <c r="X140" s="73"/>
      <c r="Y140" s="73"/>
      <c r="Z140" s="1"/>
    </row>
    <row r="141" spans="2:29" s="71" customFormat="1" x14ac:dyDescent="0.3">
      <c r="B141" s="72"/>
      <c r="D141" s="2"/>
      <c r="E141" s="2"/>
      <c r="F141" s="2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4"/>
      <c r="T141" s="75"/>
      <c r="U141" s="74"/>
      <c r="V141" s="73"/>
      <c r="W141" s="73"/>
      <c r="X141" s="73"/>
      <c r="Y141" s="73"/>
      <c r="Z141" s="1"/>
    </row>
    <row r="142" spans="2:29" s="71" customFormat="1" x14ac:dyDescent="0.3">
      <c r="B142" s="72"/>
      <c r="D142" s="2"/>
      <c r="E142" s="2"/>
      <c r="F142" s="2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4"/>
      <c r="T142" s="75"/>
      <c r="U142" s="74"/>
      <c r="V142" s="73"/>
      <c r="W142" s="73"/>
      <c r="X142" s="73"/>
      <c r="Y142" s="73"/>
      <c r="Z142" s="1"/>
    </row>
    <row r="143" spans="2:29" s="71" customFormat="1" x14ac:dyDescent="0.3">
      <c r="B143" s="72"/>
      <c r="D143" s="77"/>
      <c r="E143" s="77"/>
      <c r="F143" s="77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4"/>
      <c r="T143" s="75"/>
      <c r="U143" s="74"/>
      <c r="V143" s="73"/>
      <c r="W143" s="73"/>
      <c r="X143" s="73"/>
      <c r="Y143" s="73"/>
      <c r="Z143" s="1"/>
    </row>
    <row r="144" spans="2:29" s="71" customFormat="1" x14ac:dyDescent="0.3">
      <c r="B144" s="72"/>
      <c r="D144" s="2"/>
      <c r="E144" s="2"/>
      <c r="F144" s="2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4"/>
      <c r="T144" s="75"/>
      <c r="U144" s="74"/>
      <c r="V144" s="73"/>
      <c r="W144" s="73"/>
      <c r="X144" s="73"/>
      <c r="Y144" s="73"/>
      <c r="Z144" s="1"/>
    </row>
    <row r="145" spans="2:26" s="71" customFormat="1" x14ac:dyDescent="0.3">
      <c r="B145" s="72"/>
      <c r="D145" s="2"/>
      <c r="E145" s="2"/>
      <c r="F145" s="2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4"/>
      <c r="T145" s="75"/>
      <c r="U145" s="74"/>
      <c r="V145" s="73"/>
      <c r="W145" s="73"/>
      <c r="X145" s="73"/>
      <c r="Y145" s="73"/>
      <c r="Z145" s="1"/>
    </row>
    <row r="146" spans="2:26" s="71" customFormat="1" x14ac:dyDescent="0.3">
      <c r="B146" s="72"/>
      <c r="D146" s="2"/>
      <c r="E146" s="2"/>
      <c r="F146" s="2"/>
      <c r="H146" s="2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4"/>
      <c r="T146" s="75"/>
      <c r="U146" s="74"/>
      <c r="V146" s="73"/>
      <c r="W146" s="73"/>
      <c r="X146" s="73"/>
      <c r="Y146" s="73"/>
      <c r="Z146" s="1"/>
    </row>
    <row r="147" spans="2:26" s="71" customFormat="1" x14ac:dyDescent="0.3">
      <c r="B147" s="72"/>
      <c r="D147" s="2"/>
      <c r="E147" s="2"/>
      <c r="F147" s="2"/>
      <c r="H147" s="2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4"/>
      <c r="T147" s="75"/>
      <c r="U147" s="74"/>
      <c r="V147" s="73"/>
      <c r="W147" s="73"/>
      <c r="X147" s="73"/>
      <c r="Y147" s="73"/>
      <c r="Z147" s="1"/>
    </row>
    <row r="148" spans="2:26" s="71" customFormat="1" x14ac:dyDescent="0.3">
      <c r="B148" s="72"/>
      <c r="D148" s="2"/>
      <c r="E148" s="2"/>
      <c r="F148" s="2"/>
      <c r="H148" s="2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4"/>
      <c r="T148" s="75"/>
      <c r="U148" s="74"/>
      <c r="V148" s="73"/>
      <c r="W148" s="73"/>
      <c r="X148" s="73"/>
      <c r="Y148" s="73"/>
      <c r="Z148" s="1"/>
    </row>
    <row r="149" spans="2:26" s="71" customFormat="1" x14ac:dyDescent="0.3">
      <c r="B149" s="72"/>
      <c r="D149" s="2"/>
      <c r="E149" s="2"/>
      <c r="F149" s="2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4"/>
      <c r="T149" s="75"/>
      <c r="U149" s="74"/>
      <c r="V149" s="73"/>
      <c r="W149" s="73"/>
      <c r="X149" s="73"/>
      <c r="Y149" s="73"/>
      <c r="Z149" s="1"/>
    </row>
    <row r="150" spans="2:26" s="71" customFormat="1" x14ac:dyDescent="0.3">
      <c r="B150" s="72"/>
      <c r="D150" s="2"/>
      <c r="E150" s="2"/>
      <c r="F150" s="2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4"/>
      <c r="T150" s="75"/>
      <c r="U150" s="74"/>
      <c r="V150" s="73"/>
      <c r="W150" s="73"/>
      <c r="X150" s="73"/>
      <c r="Y150" s="73"/>
      <c r="Z150" s="1"/>
    </row>
    <row r="151" spans="2:26" s="71" customFormat="1" x14ac:dyDescent="0.3">
      <c r="B151" s="72"/>
      <c r="D151" s="2"/>
      <c r="E151" s="2"/>
      <c r="F151" s="2"/>
      <c r="H151" s="2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4"/>
      <c r="T151" s="75"/>
      <c r="U151" s="74"/>
      <c r="V151" s="73"/>
      <c r="W151" s="73"/>
      <c r="X151" s="73"/>
      <c r="Y151" s="73"/>
      <c r="Z151" s="1"/>
    </row>
    <row r="152" spans="2:26" s="71" customFormat="1" x14ac:dyDescent="0.3">
      <c r="B152" s="72"/>
      <c r="D152" s="2"/>
      <c r="E152" s="2"/>
      <c r="F152" s="2"/>
      <c r="H152" s="2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4"/>
      <c r="T152" s="75"/>
      <c r="U152" s="74"/>
      <c r="V152" s="73"/>
      <c r="W152" s="73"/>
      <c r="X152" s="73"/>
      <c r="Y152" s="73"/>
      <c r="Z152" s="1"/>
    </row>
    <row r="153" spans="2:26" s="71" customFormat="1" x14ac:dyDescent="0.3">
      <c r="B153" s="72"/>
      <c r="D153" s="2"/>
      <c r="E153" s="2"/>
      <c r="F153" s="2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4"/>
      <c r="T153" s="75"/>
      <c r="U153" s="74"/>
      <c r="V153" s="73"/>
      <c r="W153" s="73"/>
      <c r="X153" s="73"/>
      <c r="Y153" s="73"/>
      <c r="Z153" s="1"/>
    </row>
    <row r="154" spans="2:26" s="71" customFormat="1" x14ac:dyDescent="0.3">
      <c r="B154" s="72"/>
      <c r="D154" s="2"/>
      <c r="E154" s="2"/>
      <c r="F154" s="2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4"/>
      <c r="T154" s="75"/>
      <c r="U154" s="74"/>
      <c r="V154" s="73"/>
      <c r="W154" s="73"/>
      <c r="X154" s="73"/>
      <c r="Y154" s="73"/>
      <c r="Z154" s="1"/>
    </row>
    <row r="155" spans="2:26" s="71" customFormat="1" x14ac:dyDescent="0.3">
      <c r="B155" s="72"/>
      <c r="D155" s="77"/>
      <c r="E155" s="77"/>
      <c r="F155" s="77"/>
      <c r="G155" s="77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4"/>
      <c r="T155" s="75"/>
      <c r="U155" s="74"/>
      <c r="V155" s="73"/>
      <c r="W155" s="73"/>
      <c r="X155" s="73"/>
      <c r="Y155" s="73"/>
      <c r="Z155" s="1"/>
    </row>
    <row r="156" spans="2:26" s="71" customFormat="1" x14ac:dyDescent="0.3">
      <c r="B156" s="72"/>
      <c r="D156" s="2"/>
      <c r="E156" s="2"/>
      <c r="F156" s="2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4"/>
      <c r="T156" s="75"/>
      <c r="U156" s="74"/>
      <c r="V156" s="73"/>
      <c r="W156" s="73"/>
      <c r="X156" s="73"/>
      <c r="Y156" s="73"/>
      <c r="Z156" s="1"/>
    </row>
    <row r="157" spans="2:26" s="71" customFormat="1" x14ac:dyDescent="0.3">
      <c r="B157" s="72"/>
      <c r="D157" s="2"/>
      <c r="E157" s="2"/>
      <c r="F157" s="2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4"/>
      <c r="T157" s="75"/>
      <c r="U157" s="74"/>
      <c r="V157" s="73"/>
      <c r="W157" s="73"/>
      <c r="X157" s="73"/>
      <c r="Y157" s="73"/>
      <c r="Z157" s="1"/>
    </row>
    <row r="158" spans="2:26" s="71" customFormat="1" x14ac:dyDescent="0.3">
      <c r="B158" s="72"/>
      <c r="D158" s="2"/>
      <c r="E158" s="2"/>
      <c r="F158" s="2"/>
      <c r="G158" s="77"/>
      <c r="H158" s="2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4"/>
      <c r="T158" s="75"/>
      <c r="U158" s="74"/>
      <c r="V158" s="73"/>
      <c r="W158" s="73"/>
      <c r="X158" s="73"/>
      <c r="Y158" s="73"/>
      <c r="Z158" s="1"/>
    </row>
    <row r="159" spans="2:26" s="71" customFormat="1" x14ac:dyDescent="0.3">
      <c r="B159" s="72"/>
      <c r="D159" s="2"/>
      <c r="E159" s="2"/>
      <c r="F159" s="2"/>
      <c r="G159" s="77"/>
      <c r="H159" s="2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4"/>
      <c r="T159" s="75"/>
      <c r="U159" s="74"/>
      <c r="V159" s="73"/>
      <c r="W159" s="73"/>
      <c r="X159" s="73"/>
      <c r="Y159" s="73"/>
      <c r="Z159" s="1"/>
    </row>
    <row r="160" spans="2:26" s="71" customFormat="1" x14ac:dyDescent="0.3">
      <c r="B160" s="72"/>
      <c r="D160" s="2"/>
      <c r="E160" s="2"/>
      <c r="F160" s="2"/>
      <c r="G160" s="77"/>
      <c r="H160" s="2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4"/>
      <c r="T160" s="75"/>
      <c r="U160" s="74"/>
      <c r="V160" s="73"/>
      <c r="W160" s="73"/>
      <c r="X160" s="73"/>
      <c r="Y160" s="73"/>
      <c r="Z160" s="1"/>
    </row>
    <row r="161" spans="1:26" s="71" customFormat="1" x14ac:dyDescent="0.3">
      <c r="B161" s="72"/>
      <c r="D161" s="2"/>
      <c r="E161" s="2"/>
      <c r="F161" s="2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4"/>
      <c r="T161" s="75"/>
      <c r="U161" s="74"/>
      <c r="V161" s="73"/>
      <c r="W161" s="73"/>
      <c r="X161" s="73"/>
      <c r="Y161" s="73"/>
      <c r="Z161" s="1"/>
    </row>
    <row r="162" spans="1:26" s="71" customFormat="1" x14ac:dyDescent="0.3">
      <c r="B162" s="72"/>
      <c r="D162" s="2"/>
      <c r="E162" s="2"/>
      <c r="F162" s="2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4"/>
      <c r="T162" s="75"/>
      <c r="U162" s="74"/>
      <c r="V162" s="73"/>
      <c r="W162" s="73"/>
      <c r="X162" s="73"/>
      <c r="Y162" s="73"/>
      <c r="Z162" s="1"/>
    </row>
    <row r="163" spans="1:26" s="71" customFormat="1" x14ac:dyDescent="0.3">
      <c r="B163" s="72"/>
      <c r="D163" s="2"/>
      <c r="E163" s="2"/>
      <c r="F163" s="2"/>
      <c r="G163" s="77"/>
      <c r="H163" s="2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4"/>
      <c r="T163" s="75"/>
      <c r="U163" s="74"/>
      <c r="V163" s="73"/>
      <c r="W163" s="73"/>
      <c r="X163" s="73"/>
      <c r="Y163" s="73"/>
      <c r="Z163" s="1"/>
    </row>
    <row r="164" spans="1:26" x14ac:dyDescent="0.3">
      <c r="A164" s="71"/>
      <c r="B164" s="72"/>
      <c r="C164" s="71"/>
      <c r="E164" s="2"/>
      <c r="F164" s="2"/>
      <c r="G164" s="77"/>
      <c r="H164" s="2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4"/>
      <c r="T164" s="75"/>
      <c r="U164" s="4"/>
      <c r="V164" s="3"/>
      <c r="W164" s="3"/>
      <c r="X164" s="3"/>
    </row>
    <row r="165" spans="1:26" x14ac:dyDescent="0.3">
      <c r="A165" s="71"/>
      <c r="B165" s="72"/>
      <c r="C165" s="71"/>
      <c r="E165" s="2"/>
      <c r="F165" s="2"/>
      <c r="G165" s="71"/>
      <c r="H165" s="71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4"/>
      <c r="T165" s="75"/>
      <c r="U165" s="4"/>
      <c r="V165" s="3"/>
      <c r="W165" s="3"/>
      <c r="X165" s="3"/>
    </row>
    <row r="166" spans="1:26" x14ac:dyDescent="0.3">
      <c r="A166" s="71"/>
      <c r="B166" s="72"/>
      <c r="C166" s="71"/>
      <c r="E166" s="2"/>
      <c r="F166" s="2"/>
      <c r="G166" s="71"/>
      <c r="H166" s="71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4"/>
      <c r="T166" s="75"/>
      <c r="U166" s="4"/>
      <c r="V166" s="3"/>
      <c r="W166" s="3"/>
      <c r="X166" s="3"/>
    </row>
    <row r="167" spans="1:26" x14ac:dyDescent="0.3">
      <c r="I167" s="3"/>
      <c r="J167" s="3"/>
      <c r="K167" s="3"/>
      <c r="L167" s="3"/>
      <c r="M167" s="3"/>
      <c r="N167" s="3"/>
      <c r="O167" s="3"/>
      <c r="P167" s="3"/>
      <c r="Q167" s="3"/>
      <c r="S167" s="4"/>
      <c r="T167" s="5"/>
      <c r="U167" s="4"/>
      <c r="V167" s="3"/>
      <c r="W167" s="3"/>
      <c r="X167" s="3"/>
    </row>
    <row r="168" spans="1:26" x14ac:dyDescent="0.3">
      <c r="I168" s="3"/>
      <c r="J168" s="3"/>
      <c r="K168" s="3"/>
      <c r="L168" s="3"/>
      <c r="M168" s="3"/>
      <c r="N168" s="3"/>
      <c r="O168" s="3"/>
      <c r="P168" s="3"/>
      <c r="Q168" s="3"/>
      <c r="S168" s="4"/>
      <c r="T168" s="5"/>
      <c r="U168" s="4"/>
      <c r="V168" s="3"/>
      <c r="W168" s="3"/>
      <c r="X168" s="3"/>
    </row>
    <row r="169" spans="1:26" x14ac:dyDescent="0.3">
      <c r="I169" s="3"/>
      <c r="J169" s="3"/>
      <c r="K169" s="3"/>
      <c r="L169" s="3"/>
      <c r="M169" s="3"/>
      <c r="N169" s="3"/>
      <c r="O169" s="3"/>
      <c r="P169" s="3"/>
      <c r="Q169" s="3"/>
      <c r="S169" s="4"/>
      <c r="T169" s="5"/>
      <c r="U169" s="4"/>
      <c r="V169" s="3"/>
      <c r="W169" s="3"/>
      <c r="X169" s="3"/>
    </row>
    <row r="170" spans="1:26" x14ac:dyDescent="0.3">
      <c r="I170" s="3"/>
      <c r="J170" s="3"/>
      <c r="K170" s="3"/>
      <c r="L170" s="3"/>
      <c r="M170" s="3"/>
      <c r="N170" s="3"/>
      <c r="O170" s="3"/>
      <c r="P170" s="3"/>
      <c r="Q170" s="3"/>
      <c r="S170" s="4"/>
      <c r="T170" s="5"/>
      <c r="U170" s="4"/>
      <c r="V170" s="3"/>
      <c r="W170" s="3"/>
      <c r="X170" s="3"/>
    </row>
    <row r="171" spans="1:26" x14ac:dyDescent="0.3">
      <c r="I171" s="3"/>
      <c r="J171" s="3"/>
      <c r="K171" s="3"/>
      <c r="L171" s="3"/>
      <c r="M171" s="3"/>
      <c r="N171" s="3"/>
      <c r="O171" s="3"/>
      <c r="P171" s="3"/>
      <c r="Q171" s="3"/>
      <c r="S171" s="4"/>
      <c r="T171" s="5"/>
      <c r="U171" s="4"/>
      <c r="V171" s="3"/>
      <c r="W171" s="3"/>
      <c r="X171" s="3"/>
    </row>
    <row r="172" spans="1:26" x14ac:dyDescent="0.3">
      <c r="I172" s="3"/>
      <c r="J172" s="3"/>
      <c r="K172" s="3"/>
      <c r="L172" s="3"/>
      <c r="M172" s="3"/>
      <c r="N172" s="3"/>
      <c r="O172" s="3"/>
      <c r="P172" s="3"/>
      <c r="Q172" s="3"/>
      <c r="S172" s="4"/>
      <c r="T172" s="5"/>
      <c r="U172" s="4"/>
      <c r="V172" s="3"/>
      <c r="W172" s="3"/>
      <c r="X172" s="3"/>
    </row>
    <row r="173" spans="1:26" x14ac:dyDescent="0.3">
      <c r="I173" s="3"/>
      <c r="J173" s="3"/>
      <c r="K173" s="3"/>
      <c r="L173" s="3"/>
      <c r="M173" s="3"/>
      <c r="N173" s="3"/>
      <c r="O173" s="3"/>
      <c r="P173" s="3"/>
      <c r="Q173" s="3"/>
      <c r="S173" s="4"/>
      <c r="T173" s="5"/>
      <c r="U173" s="4"/>
      <c r="V173" s="3"/>
      <c r="W173" s="3"/>
      <c r="X173" s="3"/>
    </row>
    <row r="174" spans="1:26" x14ac:dyDescent="0.3">
      <c r="I174" s="3"/>
      <c r="J174" s="3"/>
      <c r="K174" s="3"/>
      <c r="L174" s="3"/>
      <c r="M174" s="3"/>
      <c r="N174" s="3"/>
      <c r="O174" s="3"/>
      <c r="P174" s="3"/>
      <c r="Q174" s="3"/>
      <c r="S174" s="4"/>
      <c r="T174" s="5"/>
      <c r="U174" s="4"/>
      <c r="V174" s="3"/>
      <c r="W174" s="3"/>
      <c r="X174" s="3"/>
    </row>
    <row r="175" spans="1:26" x14ac:dyDescent="0.3">
      <c r="I175" s="3"/>
      <c r="J175" s="3"/>
      <c r="K175" s="3"/>
      <c r="L175" s="3"/>
      <c r="M175" s="3"/>
      <c r="N175" s="3"/>
      <c r="O175" s="3"/>
      <c r="P175" s="3"/>
      <c r="Q175" s="3"/>
      <c r="S175" s="4"/>
      <c r="T175" s="5"/>
      <c r="U175" s="4"/>
      <c r="V175" s="3"/>
      <c r="W175" s="3"/>
      <c r="X175" s="3"/>
    </row>
    <row r="176" spans="1:26" x14ac:dyDescent="0.3">
      <c r="I176" s="3"/>
      <c r="J176" s="3"/>
      <c r="K176" s="3"/>
      <c r="L176" s="3"/>
      <c r="M176" s="3"/>
      <c r="N176" s="3"/>
      <c r="O176" s="3"/>
      <c r="P176" s="3"/>
      <c r="Q176" s="3"/>
      <c r="S176" s="4"/>
      <c r="T176" s="5"/>
      <c r="U176" s="4"/>
      <c r="V176" s="3"/>
      <c r="W176" s="3"/>
      <c r="X176" s="3"/>
    </row>
    <row r="177" spans="4:25" x14ac:dyDescent="0.3">
      <c r="I177" s="3"/>
      <c r="J177" s="3"/>
      <c r="K177" s="3"/>
      <c r="L177" s="3"/>
      <c r="M177" s="3"/>
      <c r="N177" s="3"/>
      <c r="O177" s="3"/>
      <c r="P177" s="3"/>
      <c r="Q177" s="3"/>
      <c r="S177" s="4"/>
      <c r="T177" s="5"/>
      <c r="U177" s="4"/>
      <c r="V177" s="3"/>
      <c r="W177" s="3"/>
      <c r="X177" s="3"/>
    </row>
    <row r="178" spans="4:25" x14ac:dyDescent="0.3">
      <c r="I178" s="3"/>
      <c r="J178" s="3"/>
      <c r="K178" s="3"/>
      <c r="L178" s="3"/>
      <c r="M178" s="3"/>
      <c r="N178" s="3"/>
      <c r="O178" s="3"/>
      <c r="P178" s="3"/>
      <c r="Q178" s="3"/>
      <c r="S178" s="4"/>
      <c r="T178" s="5"/>
      <c r="U178" s="4"/>
      <c r="V178" s="3"/>
      <c r="W178" s="3"/>
      <c r="X178" s="3"/>
    </row>
    <row r="179" spans="4:25" x14ac:dyDescent="0.3">
      <c r="D179" s="1"/>
      <c r="I179" s="3"/>
      <c r="J179" s="3"/>
      <c r="K179" s="3"/>
      <c r="L179" s="3"/>
      <c r="M179" s="3"/>
      <c r="N179" s="3"/>
      <c r="O179" s="3"/>
      <c r="P179" s="3"/>
      <c r="Q179" s="3"/>
      <c r="S179" s="4"/>
      <c r="T179" s="5"/>
      <c r="U179" s="4"/>
      <c r="V179" s="3"/>
      <c r="W179" s="3"/>
      <c r="X179" s="3"/>
      <c r="Y179" s="1"/>
    </row>
    <row r="180" spans="4:25" x14ac:dyDescent="0.3">
      <c r="D180" s="1"/>
      <c r="I180" s="3"/>
      <c r="J180" s="3"/>
      <c r="K180" s="3"/>
      <c r="L180" s="3"/>
      <c r="M180" s="3"/>
      <c r="N180" s="3"/>
      <c r="O180" s="3"/>
      <c r="P180" s="3"/>
      <c r="Q180" s="3"/>
      <c r="S180" s="4"/>
      <c r="T180" s="5"/>
      <c r="U180" s="4"/>
      <c r="V180" s="3"/>
      <c r="W180" s="3"/>
      <c r="X180" s="3"/>
      <c r="Y180" s="1"/>
    </row>
    <row r="181" spans="4:25" x14ac:dyDescent="0.3">
      <c r="D181" s="1"/>
      <c r="I181" s="3"/>
      <c r="J181" s="3"/>
      <c r="K181" s="3"/>
      <c r="L181" s="3"/>
      <c r="M181" s="3"/>
      <c r="N181" s="3"/>
      <c r="O181" s="3"/>
      <c r="P181" s="3"/>
      <c r="Q181" s="3"/>
      <c r="S181" s="4"/>
      <c r="T181" s="5"/>
      <c r="U181" s="4"/>
      <c r="V181" s="3"/>
      <c r="W181" s="3"/>
      <c r="X181" s="3"/>
      <c r="Y181" s="1"/>
    </row>
    <row r="182" spans="4:25" x14ac:dyDescent="0.3">
      <c r="D182" s="1"/>
      <c r="I182" s="3"/>
      <c r="J182" s="3"/>
      <c r="K182" s="3"/>
      <c r="L182" s="3"/>
      <c r="M182" s="3"/>
      <c r="N182" s="3"/>
      <c r="O182" s="3"/>
      <c r="P182" s="3"/>
      <c r="Q182" s="3"/>
      <c r="S182" s="4"/>
      <c r="T182" s="5"/>
      <c r="U182" s="4"/>
      <c r="V182" s="3"/>
      <c r="W182" s="3"/>
      <c r="X182" s="3"/>
      <c r="Y182" s="1"/>
    </row>
    <row r="183" spans="4:25" x14ac:dyDescent="0.3">
      <c r="D183" s="1"/>
      <c r="I183" s="3"/>
      <c r="J183" s="3"/>
      <c r="K183" s="3"/>
      <c r="L183" s="3"/>
      <c r="M183" s="3"/>
      <c r="N183" s="3"/>
      <c r="O183" s="3"/>
      <c r="P183" s="3"/>
      <c r="Q183" s="3"/>
      <c r="S183" s="4"/>
      <c r="T183" s="5"/>
      <c r="U183" s="4"/>
      <c r="V183" s="3"/>
      <c r="W183" s="3"/>
      <c r="X183" s="3"/>
      <c r="Y183" s="1"/>
    </row>
    <row r="184" spans="4:25" x14ac:dyDescent="0.3">
      <c r="D184" s="1"/>
      <c r="I184" s="3"/>
      <c r="J184" s="3"/>
      <c r="K184" s="3"/>
      <c r="L184" s="3"/>
      <c r="M184" s="3"/>
      <c r="N184" s="3"/>
      <c r="O184" s="3"/>
      <c r="P184" s="3"/>
      <c r="Q184" s="3"/>
      <c r="S184" s="4"/>
      <c r="T184" s="5"/>
      <c r="U184" s="4"/>
      <c r="V184" s="3"/>
      <c r="W184" s="3"/>
      <c r="X184" s="3"/>
      <c r="Y184" s="1"/>
    </row>
    <row r="185" spans="4:25" x14ac:dyDescent="0.3">
      <c r="D185" s="1"/>
      <c r="I185" s="3"/>
      <c r="J185" s="3"/>
      <c r="K185" s="3"/>
      <c r="L185" s="3"/>
      <c r="M185" s="3"/>
      <c r="N185" s="3"/>
      <c r="O185" s="3"/>
      <c r="P185" s="3"/>
      <c r="Q185" s="3"/>
      <c r="S185" s="4"/>
      <c r="T185" s="5"/>
      <c r="U185" s="4"/>
      <c r="V185" s="3"/>
      <c r="W185" s="3"/>
      <c r="X185" s="3"/>
      <c r="Y185" s="1"/>
    </row>
    <row r="186" spans="4:25" x14ac:dyDescent="0.3">
      <c r="D186" s="1"/>
      <c r="I186" s="3"/>
      <c r="J186" s="3"/>
      <c r="K186" s="3"/>
      <c r="L186" s="3"/>
      <c r="M186" s="3"/>
      <c r="N186" s="3"/>
      <c r="O186" s="3"/>
      <c r="P186" s="3"/>
      <c r="Q186" s="3"/>
      <c r="S186" s="4"/>
      <c r="T186" s="5"/>
      <c r="U186" s="4"/>
      <c r="V186" s="3"/>
      <c r="W186" s="3"/>
      <c r="X186" s="3"/>
      <c r="Y186" s="1"/>
    </row>
    <row r="187" spans="4:25" x14ac:dyDescent="0.3">
      <c r="D187" s="1"/>
      <c r="I187" s="3"/>
      <c r="J187" s="3"/>
      <c r="K187" s="3"/>
      <c r="L187" s="3"/>
      <c r="M187" s="3"/>
      <c r="N187" s="3"/>
      <c r="O187" s="3"/>
      <c r="P187" s="3"/>
      <c r="Q187" s="3"/>
      <c r="S187" s="4"/>
      <c r="T187" s="5"/>
      <c r="Y187" s="1"/>
    </row>
    <row r="188" spans="4:25" x14ac:dyDescent="0.3">
      <c r="D188" s="1"/>
      <c r="I188" s="3"/>
      <c r="J188" s="3"/>
      <c r="K188" s="3"/>
      <c r="L188" s="3"/>
      <c r="M188" s="3"/>
      <c r="N188" s="3"/>
      <c r="O188" s="3"/>
      <c r="P188" s="3"/>
      <c r="Q188" s="3"/>
      <c r="S188" s="4"/>
      <c r="T188" s="5"/>
      <c r="Y188" s="1"/>
    </row>
    <row r="189" spans="4:25" x14ac:dyDescent="0.3">
      <c r="D189" s="1"/>
      <c r="I189" s="3"/>
      <c r="J189" s="3"/>
      <c r="K189" s="3"/>
      <c r="L189" s="3"/>
      <c r="M189" s="3"/>
      <c r="N189" s="3"/>
      <c r="O189" s="3"/>
      <c r="P189" s="3"/>
      <c r="Q189" s="3"/>
      <c r="S189" s="4"/>
      <c r="T189" s="5"/>
      <c r="Y189" s="1"/>
    </row>
  </sheetData>
  <dataConsolidate/>
  <mergeCells count="4">
    <mergeCell ref="B7:C7"/>
    <mergeCell ref="I7:P7"/>
    <mergeCell ref="S7:U7"/>
    <mergeCell ref="V7:X7"/>
  </mergeCells>
  <dataValidations count="25">
    <dataValidation type="list" allowBlank="1" showInputMessage="1" showErrorMessage="1" sqref="G101" xr:uid="{51A65A86-A23A-48B8-A332-7E90F34510E3}">
      <formula1>Remote_IO</formula1>
    </dataValidation>
    <dataValidation type="list" allowBlank="1" showInputMessage="1" showErrorMessage="1" sqref="Y111:Y112" xr:uid="{6FBFB937-B907-4F3E-A086-74D26B8CCFB0}">
      <formula1>"S,M"</formula1>
    </dataValidation>
    <dataValidation type="list" allowBlank="1" showInputMessage="1" showErrorMessage="1" sqref="H123" xr:uid="{88007FE5-0CAE-48C1-85BB-1A812F635331}">
      <formula1>TrafoStuurstroom</formula1>
    </dataValidation>
    <dataValidation type="list" allowBlank="1" showInputMessage="1" showErrorMessage="1" sqref="H119 H127" xr:uid="{59AB217A-9A91-422B-B932-45741144A97D}">
      <formula1>Regelkast_OSB_FB</formula1>
    </dataValidation>
    <dataValidation type="list" allowBlank="1" showInputMessage="1" showErrorMessage="1" sqref="H122 H124" xr:uid="{1B5BDA23-93B8-4C21-B940-52F0503C2DD5}">
      <formula1>Stuurstroomvoorziening</formula1>
    </dataValidation>
    <dataValidation type="list" allowBlank="1" showInputMessage="1" showErrorMessage="1" sqref="H118" xr:uid="{E1259F15-ACFD-4987-ADD8-BF4AE09CF7E7}">
      <formula1>Regelkast_FB</formula1>
    </dataValidation>
    <dataValidation type="list" allowBlank="1" showInputMessage="1" showErrorMessage="1" sqref="H111:H114" xr:uid="{7A7C5464-B96B-40C2-929A-45DEFAD8BF90}">
      <formula1>Regelkast_algemeen_1</formula1>
    </dataValidation>
    <dataValidation type="list" allowBlank="1" showInputMessage="1" showErrorMessage="1" sqref="H125:H126" xr:uid="{2335BEAC-4F3B-4276-868B-04E7EC8CB9A6}">
      <formula1>Opties_regelkast</formula1>
    </dataValidation>
    <dataValidation type="list" allowBlank="1" showInputMessage="1" showErrorMessage="1" sqref="H128" xr:uid="{81D8A5EC-FE74-4289-94B3-68A97E0A24E5}">
      <formula1>Regelkast_extra</formula1>
    </dataValidation>
    <dataValidation type="list" allowBlank="1" showInputMessage="1" showErrorMessage="1" sqref="G98 G110" xr:uid="{29B6D294-80B8-466B-BEF5-C8A77114C0EA}">
      <formula1>Diversen</formula1>
    </dataValidation>
    <dataValidation type="list" allowBlank="1" showInputMessage="1" showErrorMessage="1" sqref="G71 G55 G65 G48" xr:uid="{1C7BD5A8-C5D1-4BBB-BAC8-52CF0390FF89}">
      <formula1>Regelafsluiter_2_weg_drukgecompenseerd</formula1>
    </dataValidation>
    <dataValidation type="list" allowBlank="1" showInputMessage="1" showErrorMessage="1" sqref="R49 R52 R45 R30 R67:R68 R81 R79 R107:R108 R105 R24 R26 R39 R41 R57:R59 R76 R100:R101" xr:uid="{4F24B83A-A4FC-43FC-B837-3BEC41178819}">
      <formula1>Lijnen</formula1>
    </dataValidation>
    <dataValidation type="list" allowBlank="1" showInputMessage="1" showErrorMessage="1" sqref="Q49 Q52 Q45 Q30 Q67:Q68 Q81 Q79 Q107:Q108 Q105 Q24 Q26 Q39 Q41 Q57:Q59 Q76 Q100:Q101" xr:uid="{D0421127-4AE9-43E2-9C90-3E6FF8E08119}">
      <formula1>Protocollen</formula1>
    </dataValidation>
    <dataValidation type="list" allowBlank="1" showInputMessage="1" showErrorMessage="1" sqref="H115 H27 H25 H42 H40 H12:H16 H72:H75" xr:uid="{D0EDF444-591D-459D-B908-687C7BC5BAD9}">
      <formula1>Hulprelais</formula1>
    </dataValidation>
    <dataValidation type="list" allowBlank="1" showInputMessage="1" showErrorMessage="1" sqref="G79 G52 G45 G30 G67:G68 G81 G57" xr:uid="{6118A111-D3F3-4B84-A6AD-A9B8542DBDF0}">
      <formula1>Warmte_koudemeters</formula1>
    </dataValidation>
    <dataValidation type="list" allowBlank="1" showInputMessage="1" showErrorMessage="1" sqref="G82" xr:uid="{2569D730-684B-47E3-84E7-6FE345B47698}">
      <formula1>Combinatiesensoren</formula1>
    </dataValidation>
    <dataValidation type="list" allowBlank="1" showInputMessage="1" showErrorMessage="1" sqref="G82" xr:uid="{2CFD2E6F-D0C7-4EC9-93B1-DBBB2E3ED8B0}">
      <formula1>Luchtklepservo_OD</formula1>
    </dataValidation>
    <dataValidation type="list" allowBlank="1" showInputMessage="1" showErrorMessage="1" sqref="Y132 Y60:Y63 Y42:Y44 Y46 Y27:Y29 Y55:Y56 Y65:Y66 Y113:Y119 Y77:Y78 Y104 Y82 Y84:Y85 Y12:Y23 Y25 Y31:Y38 Y40 Y48 Y50:Y51 Y71:Y75 Y87:Y99 Y110" xr:uid="{F5664829-42E4-4D2C-B725-A95CA3F57627}">
      <formula1>"S,M,KS,KM"</formula1>
    </dataValidation>
    <dataValidation type="list" allowBlank="1" showInputMessage="1" showErrorMessage="1" sqref="G156:G157 G17:G21 G32:G36 G50:G51 G56 G60:G61 G66 G77:G78 G93 G95 G97 G99" xr:uid="{559A488E-913D-4C25-8AFE-7DC275DE9818}">
      <formula1>Temperatuursensoren</formula1>
    </dataValidation>
    <dataValidation type="list" allowBlank="1" showInputMessage="1" showErrorMessage="1" sqref="G162 G37 G22:G23 G44 G29 G63" xr:uid="{940CF76B-B9E9-4231-B779-BDF5E499B9FA}">
      <formula1>Drukopnemers</formula1>
    </dataValidation>
    <dataValidation type="list" allowBlank="1" showInputMessage="1" showErrorMessage="1" sqref="G161 G12:G16 G40 G27 G25 G42 G72:G75" xr:uid="{646B823C-D9AF-40D8-A916-0009FC66C8B6}">
      <formula1>Afsluiters_2OD</formula1>
    </dataValidation>
    <dataValidation type="list" allowBlank="1" showInputMessage="1" showErrorMessage="1" sqref="H160 H148 H76 H26 H39 H41 H49 H24 H58:H59" xr:uid="{A043CDE1-0773-4385-B549-675CD6C811BD}">
      <formula1>Pompvoedingen</formula1>
    </dataValidation>
    <dataValidation type="list" allowBlank="1" showInputMessage="1" showErrorMessage="1" sqref="H163:H164 H151:H152 H138 H28 H43 H62 H107:H108 H84" xr:uid="{E8EE0C91-F06E-46C0-A5D1-8B2B30CE8D4B}">
      <formula1>Voedingen</formula1>
    </dataValidation>
    <dataValidation type="list" allowBlank="1" showInputMessage="1" showErrorMessage="1" sqref="H158:H159 H146:H147" xr:uid="{831AA570-3CD4-42A0-BA94-ED014D60F872}">
      <formula1>Ketelvoedingen</formula1>
    </dataValidation>
    <dataValidation operator="equal" allowBlank="1" showInputMessage="1" showErrorMessage="1" sqref="W8:X9 T2:U6 T8:U9 V2:V9 W2:X6 R8:R9 S2:S9 R2:R6 J8:P9 Q2:Q9 J2:P6 F134 D2:I9" xr:uid="{5F26B9F4-7E00-442C-A5E7-990D4908F67D}"/>
  </dataValidations>
  <pageMargins left="0.19685039370078741" right="0.11811023622047245" top="0.55118110236220474" bottom="0.55118110236220474" header="0.31496062992125984" footer="0.31496062992125984"/>
  <pageSetup paperSize="9" scale="64" fitToHeight="0" orientation="landscape" cellComments="atEnd" r:id="rId1"/>
  <headerFooter>
    <oddHeader>&amp;L&amp;"-,Standaard"&amp;14&amp;KC3002FBijlage: Functielijst</oddHeader>
    <oddFooter>&amp;C&amp;"Calibri,Standaard"&amp;11Pagina &amp;P van &amp;N</oddFooter>
  </headerFooter>
  <rowBreaks count="3" manualBreakCount="3">
    <brk id="45" min="3" max="16" man="1"/>
    <brk id="81" min="3" max="16" man="1"/>
    <brk id="107" min="3" max="1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71D61-1E8F-4EF6-BF1F-F834B5F4C572}">
  <sheetPr codeName="Blad18">
    <tabColor rgb="FF00FF00"/>
    <pageSetUpPr fitToPage="1"/>
  </sheetPr>
  <dimension ref="A1:AC216"/>
  <sheetViews>
    <sheetView showZeros="0" zoomScale="90" zoomScaleNormal="90" workbookViewId="0">
      <pane xSplit="3" ySplit="9" topLeftCell="D79" activePane="bottomRight" state="frozen"/>
      <selection activeCell="H111" sqref="H111"/>
      <selection pane="topRight" activeCell="H111" sqref="H111"/>
      <selection pane="bottomLeft" activeCell="H111" sqref="H111"/>
      <selection pane="bottomRight" activeCell="H111" sqref="H111"/>
    </sheetView>
  </sheetViews>
  <sheetFormatPr defaultColWidth="9" defaultRowHeight="17.25" x14ac:dyDescent="0.3"/>
  <cols>
    <col min="1" max="1" width="1.625" style="1" customWidth="1"/>
    <col min="2" max="2" width="9.125" style="1" hidden="1" customWidth="1"/>
    <col min="3" max="3" width="9" style="1" hidden="1" customWidth="1"/>
    <col min="4" max="4" width="8.875" style="2" customWidth="1"/>
    <col min="5" max="5" width="35.25" style="1" customWidth="1"/>
    <col min="6" max="6" width="22.125" style="1" customWidth="1"/>
    <col min="7" max="7" width="35.625" style="1" customWidth="1"/>
    <col min="8" max="8" width="36" style="1" customWidth="1"/>
    <col min="9" max="16" width="5.625" style="1" customWidth="1"/>
    <col min="17" max="17" width="16.125" style="1" customWidth="1"/>
    <col min="18" max="18" width="8.5" style="1" customWidth="1"/>
    <col min="19" max="19" width="4.25" style="94" hidden="1" customWidth="1"/>
    <col min="20" max="20" width="4.25" style="95" hidden="1" customWidth="1"/>
    <col min="21" max="21" width="4.25" style="94" hidden="1" customWidth="1"/>
    <col min="22" max="24" width="8.875" style="1" hidden="1" customWidth="1"/>
    <col min="25" max="25" width="20.5" style="3" customWidth="1"/>
    <col min="26" max="26" width="11" style="1" customWidth="1"/>
    <col min="27" max="29" width="5.5" style="1" customWidth="1"/>
    <col min="30" max="16384" width="9" style="1"/>
  </cols>
  <sheetData>
    <row r="1" spans="1:29" x14ac:dyDescent="0.3">
      <c r="B1" s="2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5"/>
      <c r="U1" s="4"/>
      <c r="V1" s="3"/>
      <c r="W1" s="3"/>
      <c r="X1" s="3"/>
    </row>
    <row r="2" spans="1:29" x14ac:dyDescent="0.3">
      <c r="B2" s="6"/>
      <c r="C2" s="7"/>
      <c r="D2" s="8" t="s">
        <v>0</v>
      </c>
      <c r="E2" s="9" t="str">
        <f>[1]Specificatie_uren!$E$2</f>
        <v>NB Amarant Kloppend Hart - Tilburg</v>
      </c>
      <c r="F2" s="10">
        <f>'1'!F2</f>
        <v>0</v>
      </c>
      <c r="G2" s="10"/>
      <c r="H2" s="11"/>
      <c r="I2" s="12"/>
      <c r="J2" s="13"/>
      <c r="K2" s="13"/>
      <c r="L2" s="13"/>
      <c r="M2" s="13"/>
      <c r="N2" s="13"/>
      <c r="O2" s="13"/>
      <c r="P2" s="13"/>
      <c r="Q2" s="13"/>
      <c r="R2" s="14"/>
      <c r="S2" s="15"/>
      <c r="T2" s="16"/>
      <c r="U2" s="17"/>
      <c r="V2" s="18"/>
      <c r="W2" s="19"/>
      <c r="X2" s="20"/>
      <c r="Y2" s="14"/>
    </row>
    <row r="3" spans="1:29" x14ac:dyDescent="0.3">
      <c r="B3" s="21"/>
      <c r="C3" s="22"/>
      <c r="D3" s="8" t="s">
        <v>1</v>
      </c>
      <c r="E3" s="9" t="str">
        <f>[1]Specificatie_uren!$E$3</f>
        <v xml:space="preserve">V26-0899-1A </v>
      </c>
      <c r="F3" s="10">
        <f>'1'!F3</f>
        <v>0</v>
      </c>
      <c r="G3" s="10"/>
      <c r="H3" s="10"/>
      <c r="I3" s="23"/>
      <c r="J3" s="24"/>
      <c r="K3" s="25"/>
      <c r="L3" s="25"/>
      <c r="M3" s="25"/>
      <c r="N3" s="25"/>
      <c r="O3" s="13"/>
      <c r="P3" s="13"/>
      <c r="Q3" s="10"/>
      <c r="R3" s="26"/>
      <c r="S3" s="27"/>
      <c r="T3" s="28"/>
      <c r="U3" s="29"/>
      <c r="V3" s="30"/>
      <c r="W3" s="31"/>
      <c r="X3" s="32"/>
      <c r="Y3" s="33" t="s">
        <v>2</v>
      </c>
    </row>
    <row r="4" spans="1:29" x14ac:dyDescent="0.3">
      <c r="B4" s="21"/>
      <c r="C4" s="22"/>
      <c r="D4" s="8" t="s">
        <v>3</v>
      </c>
      <c r="E4" s="34" t="str">
        <f>[1]Specificatie_uren!$B$58</f>
        <v>RK02</v>
      </c>
      <c r="F4" s="10"/>
      <c r="G4" s="10"/>
      <c r="H4" s="35"/>
      <c r="I4" s="23"/>
      <c r="J4" s="24"/>
      <c r="K4" s="25"/>
      <c r="L4" s="25"/>
      <c r="M4" s="25"/>
      <c r="N4" s="25"/>
      <c r="O4" s="13"/>
      <c r="P4" s="13"/>
      <c r="Q4" s="10"/>
      <c r="R4" s="26"/>
      <c r="S4" s="27"/>
      <c r="T4" s="28"/>
      <c r="U4" s="29"/>
      <c r="V4" s="30"/>
      <c r="W4" s="31"/>
      <c r="X4" s="32"/>
      <c r="Y4" s="36" t="s">
        <v>4</v>
      </c>
    </row>
    <row r="5" spans="1:29" hidden="1" x14ac:dyDescent="0.3">
      <c r="B5" s="21"/>
      <c r="C5" s="22"/>
      <c r="D5" s="8" t="s">
        <v>5</v>
      </c>
      <c r="E5" s="37">
        <f ca="1">TODAY()</f>
        <v>46204</v>
      </c>
      <c r="F5" s="38"/>
      <c r="G5" s="10"/>
      <c r="H5" s="10"/>
      <c r="I5" s="38"/>
      <c r="J5" s="24"/>
      <c r="K5" s="25"/>
      <c r="L5" s="25"/>
      <c r="M5" s="25"/>
      <c r="N5" s="25"/>
      <c r="O5" s="13"/>
      <c r="P5" s="13"/>
      <c r="Q5" s="10"/>
      <c r="R5" s="26"/>
      <c r="S5" s="27"/>
      <c r="T5" s="28"/>
      <c r="U5" s="29"/>
      <c r="V5" s="39"/>
      <c r="W5" s="31"/>
      <c r="X5" s="32"/>
      <c r="Y5" s="36" t="s">
        <v>4</v>
      </c>
    </row>
    <row r="6" spans="1:29" hidden="1" x14ac:dyDescent="0.3">
      <c r="B6" s="21"/>
      <c r="C6" s="40"/>
      <c r="D6" s="10"/>
      <c r="E6" s="11"/>
      <c r="F6" s="11"/>
      <c r="G6" s="11"/>
      <c r="H6" s="11"/>
      <c r="I6" s="13"/>
      <c r="J6" s="13"/>
      <c r="K6" s="13"/>
      <c r="L6" s="13"/>
      <c r="M6" s="13"/>
      <c r="N6" s="13"/>
      <c r="O6" s="13"/>
      <c r="P6" s="13"/>
      <c r="Q6" s="13"/>
      <c r="R6" s="14"/>
      <c r="S6" s="42"/>
      <c r="T6" s="43"/>
      <c r="U6" s="44"/>
      <c r="V6" s="45"/>
      <c r="W6" s="46"/>
      <c r="X6" s="47"/>
      <c r="Y6" s="36" t="s">
        <v>6</v>
      </c>
    </row>
    <row r="7" spans="1:29" x14ac:dyDescent="0.3">
      <c r="A7" s="48"/>
      <c r="B7" s="138" t="s">
        <v>7</v>
      </c>
      <c r="C7" s="139"/>
      <c r="D7" s="96"/>
      <c r="E7" s="96"/>
      <c r="F7" s="96"/>
      <c r="G7" s="96"/>
      <c r="H7" s="96"/>
      <c r="I7" s="146"/>
      <c r="J7" s="147"/>
      <c r="K7" s="147"/>
      <c r="L7" s="147"/>
      <c r="M7" s="147"/>
      <c r="N7" s="147"/>
      <c r="O7" s="147"/>
      <c r="P7" s="147"/>
      <c r="Q7" s="97"/>
      <c r="R7" s="51"/>
      <c r="S7" s="142" t="s">
        <v>8</v>
      </c>
      <c r="T7" s="143"/>
      <c r="U7" s="144"/>
      <c r="V7" s="145" t="s">
        <v>9</v>
      </c>
      <c r="W7" s="143"/>
      <c r="X7" s="144"/>
      <c r="Y7" s="36" t="s">
        <v>6</v>
      </c>
    </row>
    <row r="8" spans="1:29" ht="15" customHeight="1" x14ac:dyDescent="0.3">
      <c r="B8" s="52"/>
      <c r="C8" s="49"/>
      <c r="D8" s="96" t="s">
        <v>10</v>
      </c>
      <c r="E8" s="96" t="s">
        <v>11</v>
      </c>
      <c r="F8" s="49" t="s">
        <v>12</v>
      </c>
      <c r="G8" s="49" t="s">
        <v>13</v>
      </c>
      <c r="H8" s="96" t="str">
        <f>"Regelkast" &amp; IF(OR([1]Specificatie_uren!Q10="Nieuwbouw",[1]Specificatie_uren!Q10="Vervanging"), " (h x b x d)",)</f>
        <v>Regelkast (h x b x d)</v>
      </c>
      <c r="I8" s="98" t="s">
        <v>14</v>
      </c>
      <c r="J8" s="98" t="s">
        <v>15</v>
      </c>
      <c r="K8" s="98" t="s">
        <v>16</v>
      </c>
      <c r="L8" s="98" t="s">
        <v>17</v>
      </c>
      <c r="M8" s="98" t="s">
        <v>18</v>
      </c>
      <c r="N8" s="98" t="s">
        <v>19</v>
      </c>
      <c r="O8" s="98" t="s">
        <v>20</v>
      </c>
      <c r="P8" s="98" t="s">
        <v>21</v>
      </c>
      <c r="Q8" s="98" t="s">
        <v>22</v>
      </c>
      <c r="R8" s="54" t="s">
        <v>23</v>
      </c>
      <c r="S8" s="55" t="s">
        <v>24</v>
      </c>
      <c r="T8" s="56" t="s">
        <v>25</v>
      </c>
      <c r="U8" s="57" t="s">
        <v>26</v>
      </c>
      <c r="V8" s="58" t="s">
        <v>27</v>
      </c>
      <c r="W8" s="59" t="s">
        <v>28</v>
      </c>
      <c r="X8" s="60" t="s">
        <v>29</v>
      </c>
      <c r="Y8" s="36" t="s">
        <v>30</v>
      </c>
    </row>
    <row r="9" spans="1:29" ht="15" customHeight="1" x14ac:dyDescent="0.3">
      <c r="B9" s="61" t="s">
        <v>31</v>
      </c>
      <c r="C9" s="62" t="s">
        <v>32</v>
      </c>
      <c r="D9" s="99"/>
      <c r="E9" s="99" t="s">
        <v>198</v>
      </c>
      <c r="F9" s="64" t="s">
        <v>34</v>
      </c>
      <c r="G9" s="63"/>
      <c r="H9" s="99" t="str">
        <f>IF([1]Specificatie_uren!Q82=1,[1]Regelkast!U290,)</f>
        <v>1200 x 1200 x 300 mm  - 63 A</v>
      </c>
      <c r="I9" s="100">
        <f t="shared" ref="I9:P9" si="0">SUM(I10:I1112)</f>
        <v>21</v>
      </c>
      <c r="J9" s="100">
        <f t="shared" si="0"/>
        <v>14</v>
      </c>
      <c r="K9" s="100">
        <f t="shared" si="0"/>
        <v>1</v>
      </c>
      <c r="L9" s="100">
        <f t="shared" si="0"/>
        <v>26</v>
      </c>
      <c r="M9" s="100">
        <f t="shared" si="0"/>
        <v>12</v>
      </c>
      <c r="N9" s="100">
        <f t="shared" si="0"/>
        <v>0</v>
      </c>
      <c r="O9" s="100">
        <f t="shared" si="0"/>
        <v>76</v>
      </c>
      <c r="P9" s="100">
        <f t="shared" si="0"/>
        <v>26</v>
      </c>
      <c r="Q9" s="100">
        <f>SUM(Q10:Q1138)</f>
        <v>0</v>
      </c>
      <c r="R9" s="66"/>
      <c r="S9" s="67" t="s">
        <v>35</v>
      </c>
      <c r="T9" s="68" t="s">
        <v>36</v>
      </c>
      <c r="U9" s="69" t="s">
        <v>37</v>
      </c>
      <c r="V9" s="70"/>
      <c r="W9" s="70"/>
      <c r="X9" s="70"/>
      <c r="Y9" s="36" t="s">
        <v>38</v>
      </c>
    </row>
    <row r="10" spans="1:29" s="71" customFormat="1" x14ac:dyDescent="0.3">
      <c r="B10" s="72"/>
      <c r="D10" s="2"/>
      <c r="E10" s="2"/>
      <c r="F10" s="2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4"/>
      <c r="T10" s="75"/>
      <c r="U10" s="74"/>
      <c r="V10" s="73"/>
      <c r="W10" s="73"/>
      <c r="X10" s="73"/>
      <c r="Y10" s="73"/>
      <c r="Z10" s="1"/>
    </row>
    <row r="11" spans="1:29" s="71" customFormat="1" x14ac:dyDescent="0.3">
      <c r="B11" s="72"/>
      <c r="D11" s="72"/>
      <c r="E11" s="76" t="s">
        <v>199</v>
      </c>
      <c r="F11" s="77"/>
      <c r="G11" s="77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4"/>
      <c r="T11" s="75"/>
      <c r="U11" s="78"/>
      <c r="Y11" s="73"/>
    </row>
    <row r="12" spans="1:29" s="71" customFormat="1" x14ac:dyDescent="0.3">
      <c r="B12" s="72">
        <v>601</v>
      </c>
      <c r="C12" s="71" t="s">
        <v>200</v>
      </c>
      <c r="D12" s="79">
        <v>1</v>
      </c>
      <c r="E12" s="2" t="s">
        <v>201</v>
      </c>
      <c r="F12" s="2" t="s">
        <v>128</v>
      </c>
      <c r="G12" s="77"/>
      <c r="I12" s="73"/>
      <c r="J12" s="73"/>
      <c r="K12" s="73"/>
      <c r="L12" s="73"/>
      <c r="M12" s="73"/>
      <c r="N12" s="73"/>
      <c r="O12" s="73">
        <v>15</v>
      </c>
      <c r="P12" s="73">
        <v>7</v>
      </c>
      <c r="Q12" s="73" t="s">
        <v>70</v>
      </c>
      <c r="R12" s="73" t="s">
        <v>148</v>
      </c>
      <c r="S12" s="74"/>
      <c r="T12" s="75"/>
      <c r="U12" s="78"/>
      <c r="Y12" s="73"/>
      <c r="Z12" s="81" t="str">
        <f>Q12&amp;R12</f>
        <v>Modbus RTU MRS485-1</v>
      </c>
    </row>
    <row r="13" spans="1:29" s="71" customFormat="1" x14ac:dyDescent="0.3">
      <c r="B13" s="72">
        <v>601</v>
      </c>
      <c r="C13" s="71" t="s">
        <v>153</v>
      </c>
      <c r="D13" s="79">
        <v>1</v>
      </c>
      <c r="E13" s="2" t="s">
        <v>202</v>
      </c>
      <c r="F13" s="2" t="s">
        <v>203</v>
      </c>
      <c r="I13" s="73"/>
      <c r="J13" s="73"/>
      <c r="K13" s="73"/>
      <c r="L13" s="73"/>
      <c r="M13" s="73"/>
      <c r="N13" s="73"/>
      <c r="O13" s="73">
        <f>ROUND($D13*2,)</f>
        <v>2</v>
      </c>
      <c r="P13" s="73"/>
      <c r="Q13" s="73" t="s">
        <v>70</v>
      </c>
      <c r="R13" s="73" t="s">
        <v>85</v>
      </c>
      <c r="S13" s="74"/>
      <c r="T13" s="75"/>
      <c r="U13" s="78"/>
      <c r="Y13" s="73"/>
      <c r="Z13" s="81" t="str">
        <f>Q13&amp;R13</f>
        <v>Modbus RTU MRS485-2</v>
      </c>
    </row>
    <row r="14" spans="1:29" s="71" customFormat="1" x14ac:dyDescent="0.3">
      <c r="B14" s="72">
        <v>601</v>
      </c>
      <c r="C14" s="71" t="s">
        <v>204</v>
      </c>
      <c r="D14" s="79">
        <v>1</v>
      </c>
      <c r="E14" s="2" t="s">
        <v>205</v>
      </c>
      <c r="F14" s="2" t="s">
        <v>206</v>
      </c>
      <c r="G14" s="71" t="s">
        <v>207</v>
      </c>
      <c r="I14" s="73"/>
      <c r="J14" s="73"/>
      <c r="K14" s="73"/>
      <c r="L14" s="73"/>
      <c r="M14" s="73">
        <f>ROUND($D14*1,)</f>
        <v>1</v>
      </c>
      <c r="N14" s="73"/>
      <c r="O14" s="73"/>
      <c r="P14" s="73"/>
      <c r="Q14" s="73"/>
      <c r="R14" s="73"/>
      <c r="S14" s="74"/>
      <c r="T14" s="75"/>
      <c r="U14" s="78"/>
      <c r="Y14" s="73" t="s">
        <v>45</v>
      </c>
      <c r="AA14" s="80">
        <v>1</v>
      </c>
      <c r="AB14" s="80">
        <v>0</v>
      </c>
      <c r="AC14" s="80">
        <v>0</v>
      </c>
    </row>
    <row r="15" spans="1:29" s="71" customFormat="1" x14ac:dyDescent="0.3">
      <c r="B15" s="72"/>
      <c r="C15" s="71" t="s">
        <v>67</v>
      </c>
      <c r="D15" s="79">
        <v>1</v>
      </c>
      <c r="E15" s="2" t="s">
        <v>101</v>
      </c>
      <c r="F15" s="2"/>
      <c r="H15" s="2" t="s">
        <v>69</v>
      </c>
      <c r="I15" s="73"/>
      <c r="J15" s="73"/>
      <c r="K15" s="73"/>
      <c r="L15" s="73"/>
      <c r="M15" s="73"/>
      <c r="N15" s="73"/>
      <c r="O15" s="73">
        <v>5</v>
      </c>
      <c r="P15" s="73">
        <v>3</v>
      </c>
      <c r="Q15" s="73" t="s">
        <v>70</v>
      </c>
      <c r="R15" s="73" t="s">
        <v>71</v>
      </c>
      <c r="S15" s="74"/>
      <c r="T15" s="73"/>
      <c r="U15" s="78"/>
      <c r="Y15" s="73"/>
      <c r="Z15" s="81" t="str">
        <f t="shared" ref="Z15" si="1">Q15&amp;R15</f>
        <v>Modbus RTU MRS485-4</v>
      </c>
    </row>
    <row r="16" spans="1:29" s="71" customFormat="1" x14ac:dyDescent="0.3">
      <c r="B16" s="72">
        <v>601</v>
      </c>
      <c r="C16" s="71" t="s">
        <v>133</v>
      </c>
      <c r="D16" s="79">
        <v>1</v>
      </c>
      <c r="E16" s="2" t="s">
        <v>208</v>
      </c>
      <c r="F16" s="2"/>
      <c r="G16" s="71" t="s">
        <v>55</v>
      </c>
      <c r="I16" s="73"/>
      <c r="J16" s="73"/>
      <c r="K16" s="73"/>
      <c r="L16" s="73">
        <f>ROUND($D16*1,)</f>
        <v>1</v>
      </c>
      <c r="M16" s="73"/>
      <c r="N16" s="73"/>
      <c r="O16" s="73"/>
      <c r="P16" s="73"/>
      <c r="Q16" s="73"/>
      <c r="R16" s="73"/>
      <c r="S16" s="74"/>
      <c r="T16" s="75"/>
      <c r="U16" s="78"/>
      <c r="Y16" s="73" t="s">
        <v>45</v>
      </c>
      <c r="AA16" s="80">
        <v>1</v>
      </c>
      <c r="AB16" s="80">
        <v>0</v>
      </c>
      <c r="AC16" s="80">
        <v>0</v>
      </c>
    </row>
    <row r="17" spans="2:29" s="71" customFormat="1" x14ac:dyDescent="0.3">
      <c r="B17" s="72">
        <v>601</v>
      </c>
      <c r="C17" s="71" t="s">
        <v>209</v>
      </c>
      <c r="D17" s="79">
        <v>1</v>
      </c>
      <c r="E17" s="2" t="s">
        <v>210</v>
      </c>
      <c r="F17" s="2"/>
      <c r="G17" s="71" t="s">
        <v>55</v>
      </c>
      <c r="I17" s="73"/>
      <c r="J17" s="73"/>
      <c r="K17" s="73"/>
      <c r="L17" s="73">
        <f>ROUND($D17*1,)</f>
        <v>1</v>
      </c>
      <c r="M17" s="73"/>
      <c r="N17" s="73"/>
      <c r="O17" s="73"/>
      <c r="P17" s="73"/>
      <c r="Q17" s="73"/>
      <c r="R17" s="73"/>
      <c r="S17" s="74"/>
      <c r="T17" s="75"/>
      <c r="U17" s="78"/>
      <c r="Y17" s="73" t="s">
        <v>45</v>
      </c>
      <c r="AA17" s="80">
        <v>1</v>
      </c>
      <c r="AB17" s="80">
        <v>0</v>
      </c>
      <c r="AC17" s="80">
        <v>0</v>
      </c>
    </row>
    <row r="18" spans="2:29" s="71" customFormat="1" x14ac:dyDescent="0.3">
      <c r="B18" s="72">
        <v>601</v>
      </c>
      <c r="C18" s="71" t="s">
        <v>82</v>
      </c>
      <c r="D18" s="79">
        <v>1</v>
      </c>
      <c r="E18" s="2" t="s">
        <v>211</v>
      </c>
      <c r="F18" s="2" t="s">
        <v>84</v>
      </c>
      <c r="I18" s="73"/>
      <c r="J18" s="73"/>
      <c r="K18" s="73"/>
      <c r="L18" s="73"/>
      <c r="M18" s="73"/>
      <c r="N18" s="73"/>
      <c r="O18" s="73">
        <v>5</v>
      </c>
      <c r="P18" s="73"/>
      <c r="Q18" s="73" t="s">
        <v>70</v>
      </c>
      <c r="R18" s="73" t="s">
        <v>85</v>
      </c>
      <c r="S18" s="74"/>
      <c r="T18" s="75"/>
      <c r="U18" s="78"/>
      <c r="Y18" s="73"/>
      <c r="Z18" s="81" t="str">
        <f>Q18&amp;R18</f>
        <v>Modbus RTU MRS485-2</v>
      </c>
    </row>
    <row r="19" spans="2:29" s="71" customFormat="1" x14ac:dyDescent="0.3">
      <c r="B19" s="72">
        <v>601</v>
      </c>
      <c r="C19" s="71" t="s">
        <v>40</v>
      </c>
      <c r="D19" s="79">
        <v>1</v>
      </c>
      <c r="E19" s="2" t="s">
        <v>212</v>
      </c>
      <c r="F19" s="2" t="s">
        <v>42</v>
      </c>
      <c r="G19" s="71" t="s">
        <v>43</v>
      </c>
      <c r="I19" s="73">
        <f>ROUND($D19*1,)</f>
        <v>1</v>
      </c>
      <c r="J19" s="73">
        <f>ROUND($D19*1,)</f>
        <v>1</v>
      </c>
      <c r="K19" s="72"/>
      <c r="L19" s="73"/>
      <c r="M19" s="73"/>
      <c r="N19" s="73"/>
      <c r="O19" s="73"/>
      <c r="P19" s="73"/>
      <c r="Q19" s="73"/>
      <c r="R19" s="73"/>
      <c r="S19" s="74"/>
      <c r="T19" s="75"/>
      <c r="U19" s="78"/>
      <c r="Y19" s="73" t="s">
        <v>45</v>
      </c>
      <c r="AA19" s="80">
        <f>IFERROR(IF(Y19="M",I19+J19+K19+L19+M19+N19,),0)</f>
        <v>2</v>
      </c>
      <c r="AB19" s="80">
        <f>IFERROR(IF(Y19="KS",I19+J19+K19+L19+M19+N19,),0)</f>
        <v>0</v>
      </c>
      <c r="AC19" s="80">
        <f>IFERROR(IF(Y19="KM",I19+J19+K19+L19+M19+N19,),0)</f>
        <v>0</v>
      </c>
    </row>
    <row r="20" spans="2:29" s="71" customFormat="1" x14ac:dyDescent="0.3">
      <c r="B20" s="72">
        <v>601</v>
      </c>
      <c r="C20" s="71" t="s">
        <v>213</v>
      </c>
      <c r="D20" s="79">
        <v>1</v>
      </c>
      <c r="E20" s="2" t="s">
        <v>214</v>
      </c>
      <c r="F20" s="2"/>
      <c r="G20" s="77"/>
      <c r="H20" s="2" t="s">
        <v>215</v>
      </c>
      <c r="I20" s="73">
        <f>ROUND($D20*1,)</f>
        <v>1</v>
      </c>
      <c r="J20" s="73">
        <f>ROUND($D20*1,)</f>
        <v>1</v>
      </c>
      <c r="K20" s="73"/>
      <c r="L20" s="73"/>
      <c r="M20" s="73"/>
      <c r="N20" s="73"/>
      <c r="O20" s="73"/>
      <c r="P20" s="73"/>
      <c r="Q20" s="73"/>
      <c r="R20" s="73"/>
      <c r="S20" s="74"/>
      <c r="T20" s="75">
        <v>230</v>
      </c>
      <c r="U20" s="74">
        <v>10</v>
      </c>
      <c r="Y20" s="73" t="s">
        <v>45</v>
      </c>
      <c r="AA20" s="80">
        <f>IFERROR(IF(Y20="M",I20+J20+K20+L20+M20+N20,),0)</f>
        <v>2</v>
      </c>
      <c r="AB20" s="80">
        <f>IFERROR(IF(Y20="KS",I20+J20+K20+L20+M20+N20,),0)</f>
        <v>0</v>
      </c>
      <c r="AC20" s="80">
        <f>IFERROR(IF(Y20="KM",I20+J20+K20+L20+M20+N20,),0)</f>
        <v>0</v>
      </c>
    </row>
    <row r="21" spans="2:29" s="71" customFormat="1" x14ac:dyDescent="0.3">
      <c r="B21" s="72"/>
      <c r="D21" s="79"/>
      <c r="E21" s="2"/>
      <c r="F21" s="2"/>
      <c r="G21" s="77"/>
      <c r="I21" s="73"/>
      <c r="J21" s="73"/>
      <c r="K21" s="72"/>
      <c r="L21" s="73"/>
      <c r="M21" s="73"/>
      <c r="N21" s="73"/>
      <c r="O21" s="73"/>
      <c r="P21" s="73"/>
      <c r="Q21" s="73"/>
      <c r="R21" s="73"/>
      <c r="S21" s="74"/>
      <c r="T21" s="75"/>
      <c r="U21" s="78"/>
      <c r="Y21" s="73"/>
      <c r="AA21" s="80"/>
      <c r="AB21" s="80"/>
      <c r="AC21" s="80"/>
    </row>
    <row r="22" spans="2:29" s="71" customFormat="1" x14ac:dyDescent="0.3">
      <c r="B22" s="72">
        <v>601</v>
      </c>
      <c r="C22" s="71" t="s">
        <v>200</v>
      </c>
      <c r="D22" s="79">
        <v>1</v>
      </c>
      <c r="E22" s="2" t="s">
        <v>216</v>
      </c>
      <c r="F22" s="2" t="s">
        <v>128</v>
      </c>
      <c r="G22" s="77"/>
      <c r="I22" s="73"/>
      <c r="J22" s="73"/>
      <c r="K22" s="73"/>
      <c r="L22" s="73"/>
      <c r="M22" s="73"/>
      <c r="N22" s="73"/>
      <c r="O22" s="73">
        <v>15</v>
      </c>
      <c r="P22" s="73">
        <v>7</v>
      </c>
      <c r="Q22" s="73" t="s">
        <v>70</v>
      </c>
      <c r="R22" s="73" t="s">
        <v>148</v>
      </c>
      <c r="S22" s="74"/>
      <c r="T22" s="75"/>
      <c r="U22" s="78"/>
      <c r="Y22" s="73"/>
      <c r="Z22" s="81" t="str">
        <f>Q22&amp;R22</f>
        <v>Modbus RTU MRS485-1</v>
      </c>
    </row>
    <row r="23" spans="2:29" s="71" customFormat="1" x14ac:dyDescent="0.3">
      <c r="B23" s="72">
        <v>601</v>
      </c>
      <c r="C23" s="71" t="s">
        <v>153</v>
      </c>
      <c r="D23" s="79">
        <v>1</v>
      </c>
      <c r="E23" s="2" t="s">
        <v>202</v>
      </c>
      <c r="F23" s="2" t="s">
        <v>203</v>
      </c>
      <c r="I23" s="73"/>
      <c r="J23" s="73"/>
      <c r="K23" s="73"/>
      <c r="L23" s="73"/>
      <c r="M23" s="73"/>
      <c r="N23" s="73"/>
      <c r="O23" s="73">
        <f>ROUND($D23*2,)</f>
        <v>2</v>
      </c>
      <c r="P23" s="73"/>
      <c r="Q23" s="73" t="s">
        <v>70</v>
      </c>
      <c r="R23" s="73" t="s">
        <v>85</v>
      </c>
      <c r="S23" s="74"/>
      <c r="T23" s="75"/>
      <c r="U23" s="78"/>
      <c r="Y23" s="73"/>
      <c r="Z23" s="81" t="str">
        <f>Q23&amp;R23</f>
        <v>Modbus RTU MRS485-2</v>
      </c>
    </row>
    <row r="24" spans="2:29" s="71" customFormat="1" x14ac:dyDescent="0.3">
      <c r="B24" s="72">
        <v>601</v>
      </c>
      <c r="C24" s="71" t="s">
        <v>204</v>
      </c>
      <c r="D24" s="79">
        <v>1</v>
      </c>
      <c r="E24" s="2" t="s">
        <v>205</v>
      </c>
      <c r="F24" s="2" t="s">
        <v>206</v>
      </c>
      <c r="G24" s="71" t="s">
        <v>207</v>
      </c>
      <c r="I24" s="73"/>
      <c r="J24" s="73"/>
      <c r="K24" s="73"/>
      <c r="L24" s="73"/>
      <c r="M24" s="73">
        <f>ROUND($D24*1,)</f>
        <v>1</v>
      </c>
      <c r="N24" s="73"/>
      <c r="O24" s="73"/>
      <c r="P24" s="73"/>
      <c r="Q24" s="73"/>
      <c r="R24" s="73"/>
      <c r="S24" s="74"/>
      <c r="T24" s="75"/>
      <c r="U24" s="78"/>
      <c r="Y24" s="73" t="s">
        <v>45</v>
      </c>
      <c r="AA24" s="80">
        <v>1</v>
      </c>
      <c r="AB24" s="80">
        <v>0</v>
      </c>
      <c r="AC24" s="80">
        <v>0</v>
      </c>
    </row>
    <row r="25" spans="2:29" s="71" customFormat="1" x14ac:dyDescent="0.3">
      <c r="B25" s="72"/>
      <c r="C25" s="71" t="s">
        <v>67</v>
      </c>
      <c r="D25" s="79">
        <v>1</v>
      </c>
      <c r="E25" s="2" t="s">
        <v>101</v>
      </c>
      <c r="F25" s="2"/>
      <c r="H25" s="2" t="s">
        <v>69</v>
      </c>
      <c r="I25" s="73"/>
      <c r="J25" s="73"/>
      <c r="K25" s="73"/>
      <c r="L25" s="73"/>
      <c r="M25" s="73"/>
      <c r="N25" s="73"/>
      <c r="O25" s="73">
        <v>5</v>
      </c>
      <c r="P25" s="73">
        <v>3</v>
      </c>
      <c r="Q25" s="73" t="s">
        <v>70</v>
      </c>
      <c r="R25" s="73" t="s">
        <v>71</v>
      </c>
      <c r="S25" s="74"/>
      <c r="T25" s="73"/>
      <c r="U25" s="78"/>
      <c r="Y25" s="73"/>
      <c r="Z25" s="81" t="str">
        <f t="shared" ref="Z25" si="2">Q25&amp;R25</f>
        <v>Modbus RTU MRS485-4</v>
      </c>
    </row>
    <row r="26" spans="2:29" s="71" customFormat="1" x14ac:dyDescent="0.3">
      <c r="B26" s="72">
        <v>601</v>
      </c>
      <c r="C26" s="71" t="s">
        <v>133</v>
      </c>
      <c r="D26" s="79">
        <v>1</v>
      </c>
      <c r="E26" s="2" t="s">
        <v>208</v>
      </c>
      <c r="F26" s="2"/>
      <c r="G26" s="71" t="s">
        <v>55</v>
      </c>
      <c r="I26" s="73"/>
      <c r="J26" s="73"/>
      <c r="K26" s="73"/>
      <c r="L26" s="73">
        <f>ROUND($D26*1,)</f>
        <v>1</v>
      </c>
      <c r="M26" s="73"/>
      <c r="N26" s="73"/>
      <c r="O26" s="73"/>
      <c r="P26" s="73"/>
      <c r="Q26" s="73"/>
      <c r="R26" s="73"/>
      <c r="S26" s="74"/>
      <c r="T26" s="75"/>
      <c r="U26" s="78"/>
      <c r="Y26" s="73" t="s">
        <v>45</v>
      </c>
      <c r="AA26" s="80">
        <v>1</v>
      </c>
      <c r="AB26" s="80">
        <v>0</v>
      </c>
      <c r="AC26" s="80">
        <v>0</v>
      </c>
    </row>
    <row r="27" spans="2:29" s="71" customFormat="1" x14ac:dyDescent="0.3">
      <c r="B27" s="72">
        <v>601</v>
      </c>
      <c r="C27" s="71" t="s">
        <v>209</v>
      </c>
      <c r="D27" s="79">
        <v>1</v>
      </c>
      <c r="E27" s="2" t="s">
        <v>210</v>
      </c>
      <c r="F27" s="2"/>
      <c r="G27" s="71" t="s">
        <v>55</v>
      </c>
      <c r="I27" s="73"/>
      <c r="J27" s="73"/>
      <c r="K27" s="73"/>
      <c r="L27" s="73">
        <f>ROUND($D27*1,)</f>
        <v>1</v>
      </c>
      <c r="M27" s="73"/>
      <c r="N27" s="73"/>
      <c r="O27" s="73"/>
      <c r="P27" s="73"/>
      <c r="Q27" s="73"/>
      <c r="R27" s="73"/>
      <c r="S27" s="74"/>
      <c r="T27" s="75"/>
      <c r="U27" s="78"/>
      <c r="Y27" s="73" t="s">
        <v>45</v>
      </c>
      <c r="AA27" s="80">
        <v>1</v>
      </c>
      <c r="AB27" s="80">
        <v>0</v>
      </c>
      <c r="AC27" s="80">
        <v>0</v>
      </c>
    </row>
    <row r="28" spans="2:29" s="71" customFormat="1" x14ac:dyDescent="0.3">
      <c r="B28" s="72">
        <v>601</v>
      </c>
      <c r="C28" s="71" t="s">
        <v>82</v>
      </c>
      <c r="D28" s="79">
        <v>1</v>
      </c>
      <c r="E28" s="2" t="s">
        <v>211</v>
      </c>
      <c r="F28" s="2" t="s">
        <v>84</v>
      </c>
      <c r="I28" s="73"/>
      <c r="J28" s="73"/>
      <c r="K28" s="73"/>
      <c r="L28" s="73"/>
      <c r="M28" s="73"/>
      <c r="N28" s="73"/>
      <c r="O28" s="73">
        <v>5</v>
      </c>
      <c r="P28" s="73"/>
      <c r="Q28" s="73" t="s">
        <v>70</v>
      </c>
      <c r="R28" s="73" t="s">
        <v>85</v>
      </c>
      <c r="S28" s="74"/>
      <c r="T28" s="75"/>
      <c r="U28" s="78"/>
      <c r="Y28" s="73"/>
      <c r="Z28" s="81" t="str">
        <f>Q28&amp;R28</f>
        <v>Modbus RTU MRS485-2</v>
      </c>
    </row>
    <row r="29" spans="2:29" s="71" customFormat="1" x14ac:dyDescent="0.3">
      <c r="B29" s="72">
        <v>601</v>
      </c>
      <c r="C29" s="71" t="s">
        <v>40</v>
      </c>
      <c r="D29" s="79">
        <v>1</v>
      </c>
      <c r="E29" s="2" t="s">
        <v>212</v>
      </c>
      <c r="F29" s="2" t="s">
        <v>42</v>
      </c>
      <c r="G29" s="71" t="s">
        <v>43</v>
      </c>
      <c r="I29" s="73">
        <f>ROUND($D29*1,)</f>
        <v>1</v>
      </c>
      <c r="J29" s="73">
        <f>ROUND($D29*1,)</f>
        <v>1</v>
      </c>
      <c r="K29" s="72"/>
      <c r="L29" s="73"/>
      <c r="M29" s="73"/>
      <c r="N29" s="73"/>
      <c r="O29" s="73"/>
      <c r="P29" s="73"/>
      <c r="Q29" s="73"/>
      <c r="R29" s="73"/>
      <c r="S29" s="74"/>
      <c r="T29" s="75"/>
      <c r="U29" s="78"/>
      <c r="Y29" s="73" t="s">
        <v>45</v>
      </c>
      <c r="AA29" s="80">
        <f>IFERROR(IF(Y29="M",I29+J29+K29+L29+M29+N29,),0)</f>
        <v>2</v>
      </c>
      <c r="AB29" s="80">
        <f>IFERROR(IF(Y29="KS",I29+J29+K29+L29+M29+N29,),0)</f>
        <v>0</v>
      </c>
      <c r="AC29" s="80">
        <f>IFERROR(IF(Y29="KM",I29+J29+K29+L29+M29+N29,),0)</f>
        <v>0</v>
      </c>
    </row>
    <row r="30" spans="2:29" s="71" customFormat="1" x14ac:dyDescent="0.3">
      <c r="B30" s="72">
        <v>601</v>
      </c>
      <c r="C30" s="71" t="s">
        <v>213</v>
      </c>
      <c r="D30" s="79">
        <v>1</v>
      </c>
      <c r="E30" s="2" t="s">
        <v>214</v>
      </c>
      <c r="F30" s="2"/>
      <c r="G30" s="77"/>
      <c r="H30" s="2" t="s">
        <v>215</v>
      </c>
      <c r="I30" s="73">
        <f>ROUND($D30*1,)</f>
        <v>1</v>
      </c>
      <c r="J30" s="73">
        <f>ROUND($D30*1,)</f>
        <v>1</v>
      </c>
      <c r="K30" s="73"/>
      <c r="L30" s="73"/>
      <c r="M30" s="73"/>
      <c r="N30" s="73"/>
      <c r="O30" s="73"/>
      <c r="P30" s="73"/>
      <c r="Q30" s="73"/>
      <c r="R30" s="73"/>
      <c r="S30" s="74"/>
      <c r="T30" s="75">
        <v>230</v>
      </c>
      <c r="U30" s="74">
        <v>10</v>
      </c>
      <c r="Y30" s="73" t="s">
        <v>45</v>
      </c>
      <c r="AA30" s="80">
        <f>IFERROR(IF(Y30="M",I30+J30+K30+L30+M30+N30,),0)</f>
        <v>2</v>
      </c>
      <c r="AB30" s="80">
        <f>IFERROR(IF(Y30="KS",I30+J30+K30+L30+M30+N30,),0)</f>
        <v>0</v>
      </c>
      <c r="AC30" s="80">
        <f>IFERROR(IF(Y30="KM",I30+J30+K30+L30+M30+N30,),0)</f>
        <v>0</v>
      </c>
    </row>
    <row r="31" spans="2:29" s="71" customFormat="1" x14ac:dyDescent="0.3">
      <c r="B31" s="72"/>
      <c r="D31" s="79"/>
      <c r="E31" s="2"/>
      <c r="F31" s="2"/>
      <c r="G31" s="77"/>
      <c r="I31" s="73"/>
      <c r="J31" s="73"/>
      <c r="K31" s="72"/>
      <c r="L31" s="73"/>
      <c r="M31" s="73"/>
      <c r="N31" s="73"/>
      <c r="O31" s="73"/>
      <c r="P31" s="73"/>
      <c r="Q31" s="73"/>
      <c r="R31" s="73"/>
      <c r="S31" s="74"/>
      <c r="T31" s="75"/>
      <c r="U31" s="78"/>
      <c r="Y31" s="73"/>
      <c r="AA31" s="80"/>
      <c r="AB31" s="80"/>
      <c r="AC31" s="80"/>
    </row>
    <row r="32" spans="2:29" s="71" customFormat="1" x14ac:dyDescent="0.3">
      <c r="B32" s="72"/>
      <c r="D32" s="72"/>
      <c r="E32" s="76" t="s">
        <v>217</v>
      </c>
      <c r="F32" s="2" t="s">
        <v>218</v>
      </c>
      <c r="G32" s="77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4"/>
      <c r="T32" s="75"/>
      <c r="U32" s="78"/>
      <c r="Y32" s="73"/>
    </row>
    <row r="33" spans="2:29" s="71" customFormat="1" x14ac:dyDescent="0.3">
      <c r="B33" s="72">
        <v>301</v>
      </c>
      <c r="C33" s="71" t="s">
        <v>219</v>
      </c>
      <c r="D33" s="79">
        <v>1</v>
      </c>
      <c r="E33" s="2" t="s">
        <v>220</v>
      </c>
      <c r="F33" s="2"/>
      <c r="G33" s="77"/>
      <c r="H33" s="2" t="s">
        <v>221</v>
      </c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4"/>
      <c r="T33" s="75">
        <v>230</v>
      </c>
      <c r="U33" s="74">
        <v>10</v>
      </c>
      <c r="Y33" s="73" t="s">
        <v>74</v>
      </c>
      <c r="AA33" s="80">
        <f t="shared" ref="AA33:AA53" si="3">IFERROR(IF(Y33="M",I33+J33+K33+L33+M33+N33,),0)</f>
        <v>0</v>
      </c>
      <c r="AB33" s="80">
        <f t="shared" ref="AB33:AB53" si="4">IFERROR(IF(Y33="KS",I33+J33+K33+L33+M33+N33,),0)</f>
        <v>0</v>
      </c>
      <c r="AC33" s="80">
        <f t="shared" ref="AC33:AC53" si="5">IFERROR(IF(Y33="KM",I33+J33+K33+L33+M33+N33,),0)</f>
        <v>0</v>
      </c>
    </row>
    <row r="34" spans="2:29" s="71" customFormat="1" x14ac:dyDescent="0.3">
      <c r="B34" s="72">
        <v>301</v>
      </c>
      <c r="C34" s="71" t="s">
        <v>222</v>
      </c>
      <c r="D34" s="79">
        <v>1</v>
      </c>
      <c r="E34" s="2" t="s">
        <v>223</v>
      </c>
      <c r="F34" s="2"/>
      <c r="G34" s="71" t="s">
        <v>224</v>
      </c>
      <c r="I34" s="73"/>
      <c r="J34" s="73">
        <f>ROUND($D34*1,)</f>
        <v>1</v>
      </c>
      <c r="K34" s="73"/>
      <c r="L34" s="73"/>
      <c r="M34" s="73"/>
      <c r="N34" s="73"/>
      <c r="O34" s="73"/>
      <c r="P34" s="73"/>
      <c r="Q34" s="73"/>
      <c r="R34" s="73"/>
      <c r="S34" s="74"/>
      <c r="T34" s="75"/>
      <c r="U34" s="78"/>
      <c r="Y34" s="73" t="s">
        <v>74</v>
      </c>
      <c r="AA34" s="80">
        <f t="shared" si="3"/>
        <v>0</v>
      </c>
      <c r="AB34" s="80">
        <f t="shared" si="4"/>
        <v>0</v>
      </c>
      <c r="AC34" s="80">
        <f t="shared" si="5"/>
        <v>0</v>
      </c>
    </row>
    <row r="35" spans="2:29" s="71" customFormat="1" x14ac:dyDescent="0.3">
      <c r="B35" s="72">
        <v>301</v>
      </c>
      <c r="C35" s="71" t="s">
        <v>225</v>
      </c>
      <c r="D35" s="79">
        <v>1</v>
      </c>
      <c r="E35" s="2" t="s">
        <v>226</v>
      </c>
      <c r="F35" s="2"/>
      <c r="G35" s="71" t="s">
        <v>227</v>
      </c>
      <c r="I35" s="73"/>
      <c r="J35" s="73"/>
      <c r="K35" s="73"/>
      <c r="L35" s="73">
        <f>ROUND($D35*1,)</f>
        <v>1</v>
      </c>
      <c r="M35" s="73"/>
      <c r="N35" s="73"/>
      <c r="O35" s="73"/>
      <c r="P35" s="73"/>
      <c r="Q35" s="73"/>
      <c r="R35" s="73"/>
      <c r="S35" s="74"/>
      <c r="T35" s="75"/>
      <c r="U35" s="78"/>
      <c r="Y35" s="73" t="s">
        <v>74</v>
      </c>
      <c r="AA35" s="80">
        <f t="shared" si="3"/>
        <v>0</v>
      </c>
      <c r="AB35" s="80">
        <f t="shared" si="4"/>
        <v>0</v>
      </c>
      <c r="AC35" s="80">
        <f t="shared" si="5"/>
        <v>0</v>
      </c>
    </row>
    <row r="36" spans="2:29" s="71" customFormat="1" x14ac:dyDescent="0.3">
      <c r="B36" s="72">
        <v>301</v>
      </c>
      <c r="C36" s="71" t="s">
        <v>228</v>
      </c>
      <c r="D36" s="79">
        <v>1</v>
      </c>
      <c r="E36" s="2" t="s">
        <v>229</v>
      </c>
      <c r="F36" s="2"/>
      <c r="G36" s="71" t="s">
        <v>230</v>
      </c>
      <c r="I36" s="73"/>
      <c r="J36" s="73"/>
      <c r="K36" s="73"/>
      <c r="L36" s="73"/>
      <c r="M36" s="73">
        <f>ROUND($D36*1,)</f>
        <v>1</v>
      </c>
      <c r="N36" s="73"/>
      <c r="O36" s="73"/>
      <c r="P36" s="73"/>
      <c r="Q36" s="73"/>
      <c r="R36" s="73"/>
      <c r="S36" s="74"/>
      <c r="T36" s="75"/>
      <c r="U36" s="78"/>
      <c r="Y36" s="73" t="s">
        <v>74</v>
      </c>
      <c r="AA36" s="80">
        <f t="shared" si="3"/>
        <v>0</v>
      </c>
      <c r="AB36" s="80">
        <f t="shared" si="4"/>
        <v>0</v>
      </c>
      <c r="AC36" s="80">
        <f t="shared" si="5"/>
        <v>0</v>
      </c>
    </row>
    <row r="37" spans="2:29" s="71" customFormat="1" x14ac:dyDescent="0.3">
      <c r="B37" s="72">
        <v>301</v>
      </c>
      <c r="C37" s="71" t="s">
        <v>231</v>
      </c>
      <c r="D37" s="79">
        <v>1</v>
      </c>
      <c r="E37" s="2" t="s">
        <v>232</v>
      </c>
      <c r="F37" s="2"/>
      <c r="G37" s="71" t="s">
        <v>227</v>
      </c>
      <c r="I37" s="73"/>
      <c r="J37" s="73"/>
      <c r="K37" s="73"/>
      <c r="L37" s="73">
        <f>ROUND($D37*1,)</f>
        <v>1</v>
      </c>
      <c r="M37" s="73"/>
      <c r="N37" s="73"/>
      <c r="O37" s="73"/>
      <c r="P37" s="73"/>
      <c r="Q37" s="73"/>
      <c r="R37" s="73"/>
      <c r="S37" s="74"/>
      <c r="T37" s="75"/>
      <c r="U37" s="78"/>
      <c r="Y37" s="73" t="s">
        <v>74</v>
      </c>
      <c r="AA37" s="80">
        <f>IFERROR(IF(Y37="M",I37+J37+K37+L37+M37+N37,),0)</f>
        <v>0</v>
      </c>
      <c r="AB37" s="80">
        <f>IFERROR(IF(Y37="KS",I37+J37+K37+L37+M37+N37,),0)</f>
        <v>0</v>
      </c>
      <c r="AC37" s="80">
        <f>IFERROR(IF(Y37="KM",I37+J37+K37+L37+M37+N37,),0)</f>
        <v>0</v>
      </c>
    </row>
    <row r="38" spans="2:29" s="71" customFormat="1" x14ac:dyDescent="0.3">
      <c r="B38" s="72">
        <v>301</v>
      </c>
      <c r="C38" s="71" t="s">
        <v>233</v>
      </c>
      <c r="D38" s="79">
        <v>1</v>
      </c>
      <c r="E38" s="2" t="s">
        <v>234</v>
      </c>
      <c r="F38" s="2"/>
      <c r="G38" s="71" t="s">
        <v>235</v>
      </c>
      <c r="I38" s="73">
        <f>ROUND($D38*1,)</f>
        <v>1</v>
      </c>
      <c r="J38" s="73">
        <f>ROUND($D38*1,)</f>
        <v>1</v>
      </c>
      <c r="K38" s="73"/>
      <c r="L38" s="73"/>
      <c r="M38" s="73"/>
      <c r="N38" s="73"/>
      <c r="O38" s="73"/>
      <c r="P38" s="73"/>
      <c r="Q38" s="73"/>
      <c r="R38" s="73"/>
      <c r="S38" s="74"/>
      <c r="T38" s="75"/>
      <c r="U38" s="78"/>
      <c r="Y38" s="73" t="s">
        <v>74</v>
      </c>
      <c r="AA38" s="80">
        <f>IFERROR(IF(Y38="M",I38+J38+K38+L38+M38+N38,),0)</f>
        <v>0</v>
      </c>
      <c r="AB38" s="80">
        <f>IFERROR(IF(Y38="KS",I38+J38+K38+L38+M38+N38,),0)</f>
        <v>0</v>
      </c>
      <c r="AC38" s="80">
        <f>IFERROR(IF(Y38="KM",I38+J38+K38+L38+M38+N38,),0)</f>
        <v>0</v>
      </c>
    </row>
    <row r="39" spans="2:29" s="71" customFormat="1" x14ac:dyDescent="0.3">
      <c r="B39" s="72"/>
      <c r="C39" s="71" t="s">
        <v>72</v>
      </c>
      <c r="D39" s="79">
        <v>1</v>
      </c>
      <c r="E39" s="2" t="s">
        <v>236</v>
      </c>
      <c r="F39" s="2" t="s">
        <v>42</v>
      </c>
      <c r="G39" s="71" t="s">
        <v>237</v>
      </c>
      <c r="I39" s="73"/>
      <c r="J39" s="73"/>
      <c r="K39" s="73"/>
      <c r="L39" s="73"/>
      <c r="M39" s="73">
        <f>ROUND($D39*1,)</f>
        <v>1</v>
      </c>
      <c r="N39" s="73"/>
      <c r="O39" s="73"/>
      <c r="P39" s="73"/>
      <c r="Q39" s="73"/>
      <c r="R39" s="73"/>
      <c r="S39" s="74"/>
      <c r="T39" s="75"/>
      <c r="U39" s="78"/>
      <c r="Y39" s="73" t="s">
        <v>74</v>
      </c>
      <c r="AA39" s="80">
        <f t="shared" ref="AA39" si="6">IFERROR(IF(Y39="M",I39+J39+K39+L39+M39+N39,),0)</f>
        <v>0</v>
      </c>
      <c r="AB39" s="80">
        <f t="shared" ref="AB39" si="7">IFERROR(IF(Y39="KS",I39+J39+K39+L39+M39+N39,),0)</f>
        <v>0</v>
      </c>
      <c r="AC39" s="80">
        <f t="shared" ref="AC39" si="8">IFERROR(IF(Y39="KM",I39+J39+K39+L39+M39+N39,),0)</f>
        <v>0</v>
      </c>
    </row>
    <row r="40" spans="2:29" s="71" customFormat="1" x14ac:dyDescent="0.3">
      <c r="B40" s="72"/>
      <c r="C40" s="71" t="s">
        <v>67</v>
      </c>
      <c r="D40" s="79">
        <v>1</v>
      </c>
      <c r="E40" s="2" t="s">
        <v>238</v>
      </c>
      <c r="F40" s="2"/>
      <c r="H40" s="2" t="s">
        <v>69</v>
      </c>
      <c r="I40" s="73"/>
      <c r="J40" s="73"/>
      <c r="K40" s="73"/>
      <c r="L40" s="73"/>
      <c r="M40" s="73"/>
      <c r="N40" s="73"/>
      <c r="O40" s="73">
        <v>5</v>
      </c>
      <c r="P40" s="73">
        <v>3</v>
      </c>
      <c r="Q40" s="73" t="s">
        <v>70</v>
      </c>
      <c r="R40" s="73" t="s">
        <v>71</v>
      </c>
      <c r="S40" s="74"/>
      <c r="T40" s="73"/>
      <c r="U40" s="78"/>
      <c r="Y40" s="73"/>
      <c r="Z40" s="81" t="str">
        <f t="shared" ref="Z40" si="9">Q40&amp;R40</f>
        <v>Modbus RTU MRS485-4</v>
      </c>
    </row>
    <row r="41" spans="2:29" s="71" customFormat="1" x14ac:dyDescent="0.3">
      <c r="B41" s="72">
        <v>301</v>
      </c>
      <c r="C41" s="71" t="s">
        <v>59</v>
      </c>
      <c r="D41" s="79">
        <v>1</v>
      </c>
      <c r="E41" s="2" t="s">
        <v>239</v>
      </c>
      <c r="F41" s="2"/>
      <c r="G41" s="71" t="s">
        <v>240</v>
      </c>
      <c r="I41" s="73"/>
      <c r="J41" s="73"/>
      <c r="K41" s="73"/>
      <c r="L41" s="73">
        <f>ROUND($D41*1,)</f>
        <v>1</v>
      </c>
      <c r="M41" s="73"/>
      <c r="N41" s="73"/>
      <c r="O41" s="73"/>
      <c r="P41" s="73"/>
      <c r="Q41" s="73"/>
      <c r="R41" s="73"/>
      <c r="S41" s="74"/>
      <c r="T41" s="75"/>
      <c r="U41" s="78"/>
      <c r="Y41" s="73" t="s">
        <v>74</v>
      </c>
      <c r="AA41" s="80">
        <f>IFERROR(IF(Y41="M",I41+J41+K41+L41+M41+N41,),0)</f>
        <v>0</v>
      </c>
      <c r="AB41" s="80">
        <f>IFERROR(IF(Y41="KS",I41+J41+K41+L41+M41+N41,),0)</f>
        <v>0</v>
      </c>
      <c r="AC41" s="80">
        <f>IFERROR(IF(Y41="KM",I41+J41+K41+L41+M41+N41,),0)</f>
        <v>0</v>
      </c>
    </row>
    <row r="42" spans="2:29" s="71" customFormat="1" x14ac:dyDescent="0.3">
      <c r="B42" s="72">
        <v>301</v>
      </c>
      <c r="C42" s="71" t="s">
        <v>241</v>
      </c>
      <c r="D42" s="79">
        <v>1</v>
      </c>
      <c r="E42" s="2" t="s">
        <v>242</v>
      </c>
      <c r="F42" s="2"/>
      <c r="G42" s="71" t="s">
        <v>240</v>
      </c>
      <c r="I42" s="73"/>
      <c r="J42" s="73"/>
      <c r="K42" s="73"/>
      <c r="L42" s="73">
        <f>ROUND($D42*1,)</f>
        <v>1</v>
      </c>
      <c r="M42" s="73"/>
      <c r="N42" s="73"/>
      <c r="O42" s="73"/>
      <c r="P42" s="73"/>
      <c r="Q42" s="73"/>
      <c r="R42" s="73"/>
      <c r="S42" s="74"/>
      <c r="T42" s="75"/>
      <c r="U42" s="78"/>
      <c r="Y42" s="73" t="s">
        <v>74</v>
      </c>
      <c r="AA42" s="80">
        <f t="shared" si="3"/>
        <v>0</v>
      </c>
      <c r="AB42" s="80">
        <f t="shared" si="4"/>
        <v>0</v>
      </c>
      <c r="AC42" s="80">
        <f t="shared" si="5"/>
        <v>0</v>
      </c>
    </row>
    <row r="43" spans="2:29" s="71" customFormat="1" x14ac:dyDescent="0.3">
      <c r="B43" s="72">
        <v>301</v>
      </c>
      <c r="C43" s="71" t="s">
        <v>243</v>
      </c>
      <c r="D43" s="79">
        <v>1</v>
      </c>
      <c r="E43" s="2" t="s">
        <v>244</v>
      </c>
      <c r="F43" s="2"/>
      <c r="G43" s="71" t="s">
        <v>245</v>
      </c>
      <c r="H43" s="71" t="s">
        <v>44</v>
      </c>
      <c r="I43" s="73">
        <f>ROUND($D43*1,)</f>
        <v>1</v>
      </c>
      <c r="J43" s="73"/>
      <c r="K43" s="73"/>
      <c r="L43" s="73"/>
      <c r="M43" s="73"/>
      <c r="N43" s="73"/>
      <c r="O43" s="73"/>
      <c r="P43" s="73"/>
      <c r="Q43" s="73"/>
      <c r="R43" s="73"/>
      <c r="S43" s="74"/>
      <c r="T43" s="75"/>
      <c r="U43" s="78"/>
      <c r="Y43" s="73" t="s">
        <v>74</v>
      </c>
      <c r="AA43" s="80">
        <f t="shared" si="3"/>
        <v>0</v>
      </c>
      <c r="AB43" s="80">
        <f t="shared" si="4"/>
        <v>0</v>
      </c>
      <c r="AC43" s="80">
        <f t="shared" si="5"/>
        <v>0</v>
      </c>
    </row>
    <row r="44" spans="2:29" s="71" customFormat="1" x14ac:dyDescent="0.3">
      <c r="B44" s="72">
        <v>301</v>
      </c>
      <c r="C44" s="71" t="s">
        <v>246</v>
      </c>
      <c r="D44" s="79">
        <v>1</v>
      </c>
      <c r="E44" s="2" t="s">
        <v>247</v>
      </c>
      <c r="F44" s="2" t="s">
        <v>248</v>
      </c>
      <c r="G44" s="77"/>
      <c r="H44" s="2" t="s">
        <v>249</v>
      </c>
      <c r="I44" s="73">
        <f t="shared" ref="I44" si="10">ROUND($D44*1,)</f>
        <v>1</v>
      </c>
      <c r="J44" s="73"/>
      <c r="K44" s="73"/>
      <c r="L44" s="73"/>
      <c r="M44" s="73">
        <f>ROUND($D44*1,)</f>
        <v>1</v>
      </c>
      <c r="N44" s="73"/>
      <c r="O44" s="73"/>
      <c r="P44" s="73"/>
      <c r="Q44" s="73"/>
      <c r="R44" s="73"/>
      <c r="S44" s="74"/>
      <c r="T44" s="75">
        <v>400</v>
      </c>
      <c r="U44" s="74">
        <v>10</v>
      </c>
      <c r="Y44" s="73" t="s">
        <v>74</v>
      </c>
      <c r="AA44" s="80">
        <f t="shared" si="3"/>
        <v>0</v>
      </c>
      <c r="AB44" s="80">
        <f t="shared" si="4"/>
        <v>0</v>
      </c>
      <c r="AC44" s="80">
        <f t="shared" si="5"/>
        <v>0</v>
      </c>
    </row>
    <row r="45" spans="2:29" s="71" customFormat="1" x14ac:dyDescent="0.3">
      <c r="B45" s="72">
        <v>301</v>
      </c>
      <c r="C45" s="71" t="s">
        <v>79</v>
      </c>
      <c r="D45" s="79">
        <v>1</v>
      </c>
      <c r="E45" s="2" t="s">
        <v>250</v>
      </c>
      <c r="F45" s="2"/>
      <c r="G45" s="71" t="s">
        <v>251</v>
      </c>
      <c r="I45" s="73"/>
      <c r="J45" s="73"/>
      <c r="K45" s="73"/>
      <c r="L45" s="73">
        <f>ROUND($D45*1,)</f>
        <v>1</v>
      </c>
      <c r="M45" s="73"/>
      <c r="N45" s="73"/>
      <c r="O45" s="73"/>
      <c r="P45" s="73"/>
      <c r="Q45" s="73"/>
      <c r="R45" s="73"/>
      <c r="S45" s="74"/>
      <c r="T45" s="75"/>
      <c r="U45" s="78"/>
      <c r="Y45" s="73" t="s">
        <v>74</v>
      </c>
      <c r="AA45" s="80">
        <f t="shared" si="3"/>
        <v>0</v>
      </c>
      <c r="AB45" s="80">
        <f t="shared" si="4"/>
        <v>0</v>
      </c>
      <c r="AC45" s="80">
        <f t="shared" si="5"/>
        <v>0</v>
      </c>
    </row>
    <row r="46" spans="2:29" s="71" customFormat="1" x14ac:dyDescent="0.3">
      <c r="B46" s="72">
        <v>301</v>
      </c>
      <c r="C46" s="71" t="s">
        <v>252</v>
      </c>
      <c r="D46" s="79">
        <v>1</v>
      </c>
      <c r="E46" s="2" t="s">
        <v>253</v>
      </c>
      <c r="F46" s="2"/>
      <c r="I46" s="73">
        <f>ROUND($D46*1,)</f>
        <v>1</v>
      </c>
      <c r="J46" s="73">
        <f>ROUND($D46*1,)</f>
        <v>1</v>
      </c>
      <c r="K46" s="73"/>
      <c r="L46" s="73"/>
      <c r="M46" s="73">
        <f>ROUND($D46*1,)</f>
        <v>1</v>
      </c>
      <c r="N46" s="73"/>
      <c r="O46" s="73"/>
      <c r="P46" s="73"/>
      <c r="Q46" s="73"/>
      <c r="R46" s="73"/>
      <c r="S46" s="74"/>
      <c r="T46" s="75"/>
      <c r="U46" s="78"/>
      <c r="Y46" s="73" t="s">
        <v>74</v>
      </c>
      <c r="AA46" s="80">
        <f t="shared" si="3"/>
        <v>0</v>
      </c>
      <c r="AB46" s="80">
        <f t="shared" si="4"/>
        <v>0</v>
      </c>
      <c r="AC46" s="80">
        <f t="shared" si="5"/>
        <v>0</v>
      </c>
    </row>
    <row r="47" spans="2:29" s="71" customFormat="1" x14ac:dyDescent="0.3">
      <c r="B47" s="72">
        <v>301</v>
      </c>
      <c r="C47" s="71" t="s">
        <v>254</v>
      </c>
      <c r="D47" s="79">
        <v>1</v>
      </c>
      <c r="E47" s="2" t="s">
        <v>255</v>
      </c>
      <c r="F47" s="2"/>
      <c r="G47" s="71" t="s">
        <v>256</v>
      </c>
      <c r="H47" s="71" t="s">
        <v>44</v>
      </c>
      <c r="I47" s="73">
        <f>ROUND($D47*1,)</f>
        <v>1</v>
      </c>
      <c r="J47" s="73"/>
      <c r="K47" s="73"/>
      <c r="L47" s="73"/>
      <c r="M47" s="73"/>
      <c r="N47" s="73"/>
      <c r="O47" s="73"/>
      <c r="P47" s="73"/>
      <c r="Q47" s="73"/>
      <c r="R47" s="73"/>
      <c r="S47" s="74"/>
      <c r="T47" s="75"/>
      <c r="U47" s="78"/>
      <c r="Y47" s="73" t="s">
        <v>74</v>
      </c>
      <c r="AA47" s="80">
        <f t="shared" si="3"/>
        <v>0</v>
      </c>
      <c r="AB47" s="80">
        <f t="shared" si="4"/>
        <v>0</v>
      </c>
      <c r="AC47" s="80">
        <f t="shared" si="5"/>
        <v>0</v>
      </c>
    </row>
    <row r="48" spans="2:29" s="71" customFormat="1" x14ac:dyDescent="0.3">
      <c r="B48" s="72">
        <v>301</v>
      </c>
      <c r="C48" s="71" t="s">
        <v>257</v>
      </c>
      <c r="D48" s="79">
        <v>1</v>
      </c>
      <c r="E48" s="2" t="s">
        <v>258</v>
      </c>
      <c r="F48" s="2"/>
      <c r="G48" s="71" t="s">
        <v>259</v>
      </c>
      <c r="I48" s="73"/>
      <c r="J48" s="73"/>
      <c r="K48" s="73"/>
      <c r="L48" s="73">
        <f>ROUND($D48*2,)</f>
        <v>2</v>
      </c>
      <c r="M48" s="73"/>
      <c r="N48" s="73"/>
      <c r="O48" s="73"/>
      <c r="P48" s="73"/>
      <c r="Q48" s="73"/>
      <c r="R48" s="73"/>
      <c r="S48" s="74"/>
      <c r="T48" s="75"/>
      <c r="U48" s="78"/>
      <c r="Y48" s="73" t="s">
        <v>74</v>
      </c>
      <c r="AA48" s="80">
        <f t="shared" si="3"/>
        <v>0</v>
      </c>
      <c r="AB48" s="80">
        <f t="shared" si="4"/>
        <v>0</v>
      </c>
      <c r="AC48" s="80">
        <f t="shared" si="5"/>
        <v>0</v>
      </c>
    </row>
    <row r="49" spans="2:29" s="71" customFormat="1" x14ac:dyDescent="0.3">
      <c r="B49" s="72">
        <v>301</v>
      </c>
      <c r="C49" s="71" t="s">
        <v>260</v>
      </c>
      <c r="D49" s="79">
        <v>1</v>
      </c>
      <c r="E49" s="2" t="s">
        <v>261</v>
      </c>
      <c r="F49" s="2"/>
      <c r="G49" s="71" t="s">
        <v>251</v>
      </c>
      <c r="I49" s="73"/>
      <c r="J49" s="73"/>
      <c r="K49" s="73"/>
      <c r="L49" s="73">
        <f>ROUND($D49*1,)</f>
        <v>1</v>
      </c>
      <c r="M49" s="73"/>
      <c r="N49" s="73"/>
      <c r="O49" s="73"/>
      <c r="P49" s="73"/>
      <c r="Q49" s="73"/>
      <c r="R49" s="73"/>
      <c r="S49" s="74"/>
      <c r="T49" s="75"/>
      <c r="U49" s="78"/>
      <c r="Y49" s="73" t="s">
        <v>74</v>
      </c>
      <c r="AA49" s="80">
        <f>IFERROR(IF(Y49="M",I49+J49+K49+L49+M49+N49,),0)</f>
        <v>0</v>
      </c>
      <c r="AB49" s="80">
        <f>IFERROR(IF(Y49="KS",I49+J49+K49+L49+M49+N49,),0)</f>
        <v>0</v>
      </c>
      <c r="AC49" s="80">
        <f>IFERROR(IF(Y49="KM",I49+J49+K49+L49+M49+N49,),0)</f>
        <v>0</v>
      </c>
    </row>
    <row r="50" spans="2:29" s="71" customFormat="1" x14ac:dyDescent="0.3">
      <c r="B50" s="72">
        <v>301</v>
      </c>
      <c r="C50" s="71" t="s">
        <v>262</v>
      </c>
      <c r="D50" s="79">
        <v>1</v>
      </c>
      <c r="E50" s="2" t="s">
        <v>263</v>
      </c>
      <c r="F50" s="2"/>
      <c r="G50" s="71" t="s">
        <v>259</v>
      </c>
      <c r="I50" s="73"/>
      <c r="J50" s="73"/>
      <c r="K50" s="73"/>
      <c r="L50" s="73">
        <f>ROUND($D50*2,)</f>
        <v>2</v>
      </c>
      <c r="M50" s="73"/>
      <c r="N50" s="73"/>
      <c r="O50" s="73"/>
      <c r="P50" s="73"/>
      <c r="Q50" s="73"/>
      <c r="R50" s="73"/>
      <c r="S50" s="74"/>
      <c r="T50" s="75"/>
      <c r="U50" s="78"/>
      <c r="Y50" s="73" t="s">
        <v>74</v>
      </c>
      <c r="AA50" s="80">
        <f t="shared" si="3"/>
        <v>0</v>
      </c>
      <c r="AB50" s="80">
        <f t="shared" si="4"/>
        <v>0</v>
      </c>
      <c r="AC50" s="80">
        <f t="shared" si="5"/>
        <v>0</v>
      </c>
    </row>
    <row r="51" spans="2:29" s="71" customFormat="1" x14ac:dyDescent="0.3">
      <c r="B51" s="72">
        <v>301</v>
      </c>
      <c r="C51" s="71" t="s">
        <v>264</v>
      </c>
      <c r="D51" s="79">
        <v>1</v>
      </c>
      <c r="E51" s="2" t="s">
        <v>265</v>
      </c>
      <c r="F51" s="2"/>
      <c r="G51" s="71" t="s">
        <v>227</v>
      </c>
      <c r="I51" s="73"/>
      <c r="J51" s="73"/>
      <c r="K51" s="73"/>
      <c r="L51" s="73">
        <f>ROUND($D51*1,)</f>
        <v>1</v>
      </c>
      <c r="M51" s="73"/>
      <c r="N51" s="73"/>
      <c r="O51" s="73"/>
      <c r="P51" s="73"/>
      <c r="Q51" s="73"/>
      <c r="R51" s="73"/>
      <c r="S51" s="74"/>
      <c r="T51" s="75"/>
      <c r="U51" s="78"/>
      <c r="Y51" s="73" t="s">
        <v>74</v>
      </c>
      <c r="AA51" s="80">
        <f t="shared" si="3"/>
        <v>0</v>
      </c>
      <c r="AB51" s="80">
        <f t="shared" si="4"/>
        <v>0</v>
      </c>
      <c r="AC51" s="80">
        <f t="shared" si="5"/>
        <v>0</v>
      </c>
    </row>
    <row r="52" spans="2:29" s="71" customFormat="1" x14ac:dyDescent="0.3">
      <c r="B52" s="72">
        <v>301</v>
      </c>
      <c r="C52" s="71" t="s">
        <v>121</v>
      </c>
      <c r="D52" s="79">
        <v>1</v>
      </c>
      <c r="E52" s="2" t="s">
        <v>266</v>
      </c>
      <c r="F52" s="2" t="s">
        <v>248</v>
      </c>
      <c r="G52" s="77"/>
      <c r="H52" s="2" t="s">
        <v>249</v>
      </c>
      <c r="I52" s="73">
        <f t="shared" ref="I52" si="11">ROUND($D52*1,)</f>
        <v>1</v>
      </c>
      <c r="J52" s="73"/>
      <c r="K52" s="73"/>
      <c r="L52" s="73"/>
      <c r="M52" s="73">
        <f>ROUND($D52*1,)</f>
        <v>1</v>
      </c>
      <c r="N52" s="73"/>
      <c r="O52" s="73"/>
      <c r="P52" s="73"/>
      <c r="Q52" s="73"/>
      <c r="R52" s="73"/>
      <c r="S52" s="74"/>
      <c r="T52" s="75">
        <v>400</v>
      </c>
      <c r="U52" s="78"/>
      <c r="Y52" s="73" t="s">
        <v>74</v>
      </c>
      <c r="AA52" s="80">
        <f t="shared" si="3"/>
        <v>0</v>
      </c>
      <c r="AB52" s="80">
        <f t="shared" si="4"/>
        <v>0</v>
      </c>
      <c r="AC52" s="80">
        <f t="shared" si="5"/>
        <v>0</v>
      </c>
    </row>
    <row r="53" spans="2:29" s="71" customFormat="1" x14ac:dyDescent="0.3">
      <c r="B53" s="72">
        <v>301</v>
      </c>
      <c r="C53" s="71" t="s">
        <v>267</v>
      </c>
      <c r="D53" s="79">
        <v>1</v>
      </c>
      <c r="E53" s="2" t="s">
        <v>268</v>
      </c>
      <c r="F53" s="2"/>
      <c r="G53" s="71" t="s">
        <v>224</v>
      </c>
      <c r="I53" s="73"/>
      <c r="J53" s="73">
        <f>ROUND($D53*1,)</f>
        <v>1</v>
      </c>
      <c r="K53" s="73"/>
      <c r="L53" s="73"/>
      <c r="M53" s="73"/>
      <c r="N53" s="73"/>
      <c r="O53" s="73"/>
      <c r="P53" s="73"/>
      <c r="Q53" s="73"/>
      <c r="R53" s="73"/>
      <c r="S53" s="74"/>
      <c r="T53" s="75"/>
      <c r="U53" s="78"/>
      <c r="Y53" s="73" t="s">
        <v>74</v>
      </c>
      <c r="AA53" s="80">
        <f t="shared" si="3"/>
        <v>0</v>
      </c>
      <c r="AB53" s="80">
        <f t="shared" si="4"/>
        <v>0</v>
      </c>
      <c r="AC53" s="80">
        <f t="shared" si="5"/>
        <v>0</v>
      </c>
    </row>
    <row r="54" spans="2:29" s="71" customFormat="1" x14ac:dyDescent="0.3">
      <c r="B54" s="72"/>
      <c r="D54" s="79"/>
      <c r="E54" s="2"/>
      <c r="F54" s="2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4"/>
      <c r="T54" s="75"/>
      <c r="U54" s="78"/>
      <c r="Y54" s="73"/>
      <c r="AA54" s="80"/>
      <c r="AB54" s="80"/>
      <c r="AC54" s="80"/>
    </row>
    <row r="55" spans="2:29" s="71" customFormat="1" x14ac:dyDescent="0.3">
      <c r="B55" s="72"/>
      <c r="D55" s="72"/>
      <c r="E55" s="76" t="s">
        <v>269</v>
      </c>
      <c r="F55" s="2" t="s">
        <v>270</v>
      </c>
      <c r="G55" s="77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4"/>
      <c r="T55" s="75"/>
      <c r="U55" s="78"/>
      <c r="Y55" s="73"/>
    </row>
    <row r="56" spans="2:29" s="71" customFormat="1" x14ac:dyDescent="0.3">
      <c r="B56" s="72">
        <v>301</v>
      </c>
      <c r="C56" s="71" t="s">
        <v>219</v>
      </c>
      <c r="D56" s="79">
        <v>1</v>
      </c>
      <c r="E56" s="2" t="s">
        <v>220</v>
      </c>
      <c r="F56" s="2"/>
      <c r="G56" s="77"/>
      <c r="H56" s="2" t="s">
        <v>221</v>
      </c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4"/>
      <c r="T56" s="75">
        <v>230</v>
      </c>
      <c r="U56" s="74">
        <v>10</v>
      </c>
      <c r="Y56" s="73" t="s">
        <v>74</v>
      </c>
      <c r="AA56" s="80">
        <f t="shared" ref="AA56:AA59" si="12">IFERROR(IF(Y56="M",I56+J56+K56+L56+M56+N56,),0)</f>
        <v>0</v>
      </c>
      <c r="AB56" s="80">
        <f t="shared" ref="AB56:AB59" si="13">IFERROR(IF(Y56="KS",I56+J56+K56+L56+M56+N56,),0)</f>
        <v>0</v>
      </c>
      <c r="AC56" s="80">
        <f t="shared" ref="AC56:AC59" si="14">IFERROR(IF(Y56="KM",I56+J56+K56+L56+M56+N56,),0)</f>
        <v>0</v>
      </c>
    </row>
    <row r="57" spans="2:29" s="71" customFormat="1" x14ac:dyDescent="0.3">
      <c r="B57" s="72">
        <v>301</v>
      </c>
      <c r="C57" s="71" t="s">
        <v>222</v>
      </c>
      <c r="D57" s="79">
        <v>1</v>
      </c>
      <c r="E57" s="2" t="s">
        <v>223</v>
      </c>
      <c r="F57" s="2"/>
      <c r="G57" s="71" t="s">
        <v>224</v>
      </c>
      <c r="I57" s="73"/>
      <c r="J57" s="73">
        <f>ROUND($D57*1,)</f>
        <v>1</v>
      </c>
      <c r="K57" s="73"/>
      <c r="L57" s="73"/>
      <c r="M57" s="73"/>
      <c r="N57" s="73"/>
      <c r="O57" s="73"/>
      <c r="P57" s="73"/>
      <c r="Q57" s="73"/>
      <c r="R57" s="73"/>
      <c r="S57" s="74"/>
      <c r="T57" s="75"/>
      <c r="U57" s="78"/>
      <c r="Y57" s="73" t="s">
        <v>74</v>
      </c>
      <c r="AA57" s="80">
        <f t="shared" si="12"/>
        <v>0</v>
      </c>
      <c r="AB57" s="80">
        <f t="shared" si="13"/>
        <v>0</v>
      </c>
      <c r="AC57" s="80">
        <f t="shared" si="14"/>
        <v>0</v>
      </c>
    </row>
    <row r="58" spans="2:29" s="71" customFormat="1" x14ac:dyDescent="0.3">
      <c r="B58" s="72">
        <v>301</v>
      </c>
      <c r="C58" s="71" t="s">
        <v>225</v>
      </c>
      <c r="D58" s="79">
        <v>1</v>
      </c>
      <c r="E58" s="2" t="s">
        <v>226</v>
      </c>
      <c r="F58" s="2"/>
      <c r="G58" s="71" t="s">
        <v>227</v>
      </c>
      <c r="I58" s="73"/>
      <c r="J58" s="73"/>
      <c r="K58" s="73"/>
      <c r="L58" s="73">
        <f>ROUND($D58*1,)</f>
        <v>1</v>
      </c>
      <c r="M58" s="73"/>
      <c r="N58" s="73"/>
      <c r="O58" s="73"/>
      <c r="P58" s="73"/>
      <c r="Q58" s="73"/>
      <c r="R58" s="73"/>
      <c r="S58" s="74"/>
      <c r="T58" s="75"/>
      <c r="U58" s="78"/>
      <c r="Y58" s="73" t="s">
        <v>74</v>
      </c>
      <c r="AA58" s="80">
        <f t="shared" si="12"/>
        <v>0</v>
      </c>
      <c r="AB58" s="80">
        <f t="shared" si="13"/>
        <v>0</v>
      </c>
      <c r="AC58" s="80">
        <f t="shared" si="14"/>
        <v>0</v>
      </c>
    </row>
    <row r="59" spans="2:29" s="71" customFormat="1" x14ac:dyDescent="0.3">
      <c r="B59" s="72">
        <v>301</v>
      </c>
      <c r="C59" s="71" t="s">
        <v>228</v>
      </c>
      <c r="D59" s="79">
        <v>1</v>
      </c>
      <c r="E59" s="2" t="s">
        <v>229</v>
      </c>
      <c r="F59" s="2"/>
      <c r="G59" s="71" t="s">
        <v>230</v>
      </c>
      <c r="I59" s="73"/>
      <c r="J59" s="73"/>
      <c r="K59" s="73"/>
      <c r="L59" s="73"/>
      <c r="M59" s="73">
        <f>ROUND($D59*1,)</f>
        <v>1</v>
      </c>
      <c r="N59" s="73"/>
      <c r="O59" s="73"/>
      <c r="P59" s="73"/>
      <c r="Q59" s="73"/>
      <c r="R59" s="73"/>
      <c r="S59" s="74"/>
      <c r="T59" s="75"/>
      <c r="U59" s="78"/>
      <c r="Y59" s="73" t="s">
        <v>74</v>
      </c>
      <c r="AA59" s="80">
        <f t="shared" si="12"/>
        <v>0</v>
      </c>
      <c r="AB59" s="80">
        <f t="shared" si="13"/>
        <v>0</v>
      </c>
      <c r="AC59" s="80">
        <f t="shared" si="14"/>
        <v>0</v>
      </c>
    </row>
    <row r="60" spans="2:29" s="71" customFormat="1" x14ac:dyDescent="0.3">
      <c r="B60" s="72">
        <v>301</v>
      </c>
      <c r="C60" s="71" t="s">
        <v>231</v>
      </c>
      <c r="D60" s="79">
        <v>1</v>
      </c>
      <c r="E60" s="2" t="s">
        <v>232</v>
      </c>
      <c r="F60" s="2"/>
      <c r="G60" s="71" t="s">
        <v>227</v>
      </c>
      <c r="I60" s="73"/>
      <c r="J60" s="73"/>
      <c r="K60" s="73"/>
      <c r="L60" s="73">
        <f>ROUND($D60*1,)</f>
        <v>1</v>
      </c>
      <c r="M60" s="73"/>
      <c r="N60" s="73"/>
      <c r="O60" s="73"/>
      <c r="P60" s="73"/>
      <c r="Q60" s="73"/>
      <c r="R60" s="73"/>
      <c r="S60" s="74"/>
      <c r="T60" s="75"/>
      <c r="U60" s="78"/>
      <c r="Y60" s="73" t="s">
        <v>74</v>
      </c>
      <c r="AA60" s="80">
        <f>IFERROR(IF(Y60="M",I60+J60+K60+L60+M60+N60,),0)</f>
        <v>0</v>
      </c>
      <c r="AB60" s="80">
        <f>IFERROR(IF(Y60="KS",I60+J60+K60+L60+M60+N60,),0)</f>
        <v>0</v>
      </c>
      <c r="AC60" s="80">
        <f>IFERROR(IF(Y60="KM",I60+J60+K60+L60+M60+N60,),0)</f>
        <v>0</v>
      </c>
    </row>
    <row r="61" spans="2:29" s="71" customFormat="1" x14ac:dyDescent="0.3">
      <c r="B61" s="72">
        <v>301</v>
      </c>
      <c r="C61" s="71" t="s">
        <v>233</v>
      </c>
      <c r="D61" s="79">
        <v>1</v>
      </c>
      <c r="E61" s="2" t="s">
        <v>234</v>
      </c>
      <c r="F61" s="2"/>
      <c r="G61" s="71" t="s">
        <v>235</v>
      </c>
      <c r="I61" s="73">
        <f>ROUND($D61*1,)</f>
        <v>1</v>
      </c>
      <c r="J61" s="73">
        <f>ROUND($D61*1,)</f>
        <v>1</v>
      </c>
      <c r="K61" s="73"/>
      <c r="L61" s="73"/>
      <c r="M61" s="73"/>
      <c r="N61" s="73"/>
      <c r="O61" s="73"/>
      <c r="P61" s="73"/>
      <c r="Q61" s="73"/>
      <c r="R61" s="73"/>
      <c r="S61" s="74"/>
      <c r="T61" s="75"/>
      <c r="U61" s="78"/>
      <c r="Y61" s="73" t="s">
        <v>74</v>
      </c>
      <c r="AA61" s="80">
        <f>IFERROR(IF(Y61="M",I61+J61+K61+L61+M61+N61,),0)</f>
        <v>0</v>
      </c>
      <c r="AB61" s="80">
        <f>IFERROR(IF(Y61="KS",I61+J61+K61+L61+M61+N61,),0)</f>
        <v>0</v>
      </c>
      <c r="AC61" s="80">
        <f>IFERROR(IF(Y61="KM",I61+J61+K61+L61+M61+N61,),0)</f>
        <v>0</v>
      </c>
    </row>
    <row r="62" spans="2:29" s="71" customFormat="1" x14ac:dyDescent="0.3">
      <c r="B62" s="72"/>
      <c r="C62" s="71" t="s">
        <v>72</v>
      </c>
      <c r="D62" s="79">
        <v>1</v>
      </c>
      <c r="E62" s="2" t="s">
        <v>236</v>
      </c>
      <c r="F62" s="2" t="s">
        <v>42</v>
      </c>
      <c r="G62" s="71" t="s">
        <v>237</v>
      </c>
      <c r="I62" s="73"/>
      <c r="J62" s="73"/>
      <c r="K62" s="73"/>
      <c r="L62" s="73"/>
      <c r="M62" s="73">
        <f>ROUND($D62*1,)</f>
        <v>1</v>
      </c>
      <c r="N62" s="73"/>
      <c r="O62" s="73"/>
      <c r="P62" s="73"/>
      <c r="Q62" s="73"/>
      <c r="R62" s="73"/>
      <c r="S62" s="74"/>
      <c r="T62" s="75"/>
      <c r="U62" s="78"/>
      <c r="Y62" s="73" t="s">
        <v>74</v>
      </c>
      <c r="AA62" s="80">
        <f t="shared" ref="AA62" si="15">IFERROR(IF(Y62="M",I62+J62+K62+L62+M62+N62,),0)</f>
        <v>0</v>
      </c>
      <c r="AB62" s="80">
        <f t="shared" ref="AB62" si="16">IFERROR(IF(Y62="KS",I62+J62+K62+L62+M62+N62,),0)</f>
        <v>0</v>
      </c>
      <c r="AC62" s="80">
        <f t="shared" ref="AC62" si="17">IFERROR(IF(Y62="KM",I62+J62+K62+L62+M62+N62,),0)</f>
        <v>0</v>
      </c>
    </row>
    <row r="63" spans="2:29" s="71" customFormat="1" x14ac:dyDescent="0.3">
      <c r="B63" s="72"/>
      <c r="C63" s="71" t="s">
        <v>67</v>
      </c>
      <c r="D63" s="79">
        <v>1</v>
      </c>
      <c r="E63" s="2" t="s">
        <v>238</v>
      </c>
      <c r="F63" s="2"/>
      <c r="H63" s="2" t="s">
        <v>69</v>
      </c>
      <c r="I63" s="73"/>
      <c r="J63" s="73"/>
      <c r="K63" s="73"/>
      <c r="L63" s="73"/>
      <c r="M63" s="73"/>
      <c r="N63" s="73"/>
      <c r="O63" s="73">
        <v>5</v>
      </c>
      <c r="P63" s="73">
        <v>3</v>
      </c>
      <c r="Q63" s="73" t="s">
        <v>70</v>
      </c>
      <c r="R63" s="73" t="s">
        <v>71</v>
      </c>
      <c r="S63" s="74"/>
      <c r="T63" s="73"/>
      <c r="U63" s="78"/>
      <c r="Y63" s="73"/>
      <c r="Z63" s="81" t="str">
        <f t="shared" ref="Z63" si="18">Q63&amp;R63</f>
        <v>Modbus RTU MRS485-4</v>
      </c>
    </row>
    <row r="64" spans="2:29" s="71" customFormat="1" x14ac:dyDescent="0.3">
      <c r="B64" s="72">
        <v>301</v>
      </c>
      <c r="C64" s="71" t="s">
        <v>59</v>
      </c>
      <c r="D64" s="79">
        <v>1</v>
      </c>
      <c r="E64" s="2" t="s">
        <v>239</v>
      </c>
      <c r="F64" s="2"/>
      <c r="G64" s="71" t="s">
        <v>240</v>
      </c>
      <c r="I64" s="73"/>
      <c r="J64" s="73"/>
      <c r="K64" s="73"/>
      <c r="L64" s="73">
        <f>ROUND($D64*1,)</f>
        <v>1</v>
      </c>
      <c r="M64" s="73"/>
      <c r="N64" s="73"/>
      <c r="O64" s="73"/>
      <c r="P64" s="73"/>
      <c r="Q64" s="73"/>
      <c r="R64" s="73"/>
      <c r="S64" s="74"/>
      <c r="T64" s="75"/>
      <c r="U64" s="78"/>
      <c r="Y64" s="73" t="s">
        <v>74</v>
      </c>
      <c r="AA64" s="80">
        <f>IFERROR(IF(Y64="M",I64+J64+K64+L64+M64+N64,),0)</f>
        <v>0</v>
      </c>
      <c r="AB64" s="80">
        <f>IFERROR(IF(Y64="KS",I64+J64+K64+L64+M64+N64,),0)</f>
        <v>0</v>
      </c>
      <c r="AC64" s="80">
        <f>IFERROR(IF(Y64="KM",I64+J64+K64+L64+M64+N64,),0)</f>
        <v>0</v>
      </c>
    </row>
    <row r="65" spans="2:29" s="71" customFormat="1" x14ac:dyDescent="0.3">
      <c r="B65" s="72">
        <v>301</v>
      </c>
      <c r="C65" s="71" t="s">
        <v>241</v>
      </c>
      <c r="D65" s="79">
        <v>1</v>
      </c>
      <c r="E65" s="2" t="s">
        <v>242</v>
      </c>
      <c r="F65" s="2"/>
      <c r="G65" s="71" t="s">
        <v>240</v>
      </c>
      <c r="I65" s="73"/>
      <c r="J65" s="73"/>
      <c r="K65" s="73"/>
      <c r="L65" s="73">
        <f>ROUND($D65*1,)</f>
        <v>1</v>
      </c>
      <c r="M65" s="73"/>
      <c r="N65" s="73"/>
      <c r="O65" s="73"/>
      <c r="P65" s="73"/>
      <c r="Q65" s="73"/>
      <c r="R65" s="73"/>
      <c r="S65" s="74"/>
      <c r="T65" s="75"/>
      <c r="U65" s="78"/>
      <c r="Y65" s="73" t="s">
        <v>74</v>
      </c>
      <c r="AA65" s="80">
        <f t="shared" ref="AA65:AA71" si="19">IFERROR(IF(Y65="M",I65+J65+K65+L65+M65+N65,),0)</f>
        <v>0</v>
      </c>
      <c r="AB65" s="80">
        <f t="shared" ref="AB65:AB71" si="20">IFERROR(IF(Y65="KS",I65+J65+K65+L65+M65+N65,),0)</f>
        <v>0</v>
      </c>
      <c r="AC65" s="80">
        <f t="shared" ref="AC65:AC71" si="21">IFERROR(IF(Y65="KM",I65+J65+K65+L65+M65+N65,),0)</f>
        <v>0</v>
      </c>
    </row>
    <row r="66" spans="2:29" s="71" customFormat="1" x14ac:dyDescent="0.3">
      <c r="B66" s="72">
        <v>301</v>
      </c>
      <c r="C66" s="71" t="s">
        <v>243</v>
      </c>
      <c r="D66" s="79">
        <v>1</v>
      </c>
      <c r="E66" s="2" t="s">
        <v>244</v>
      </c>
      <c r="F66" s="2"/>
      <c r="G66" s="71" t="s">
        <v>245</v>
      </c>
      <c r="H66" s="71" t="s">
        <v>44</v>
      </c>
      <c r="I66" s="73">
        <f>ROUND($D66*1,)</f>
        <v>1</v>
      </c>
      <c r="J66" s="73"/>
      <c r="K66" s="73"/>
      <c r="L66" s="73"/>
      <c r="M66" s="73"/>
      <c r="N66" s="73"/>
      <c r="O66" s="73"/>
      <c r="P66" s="73"/>
      <c r="Q66" s="73"/>
      <c r="R66" s="73"/>
      <c r="S66" s="74"/>
      <c r="T66" s="75"/>
      <c r="U66" s="78"/>
      <c r="Y66" s="73" t="s">
        <v>74</v>
      </c>
      <c r="AA66" s="80">
        <f t="shared" si="19"/>
        <v>0</v>
      </c>
      <c r="AB66" s="80">
        <f t="shared" si="20"/>
        <v>0</v>
      </c>
      <c r="AC66" s="80">
        <f t="shared" si="21"/>
        <v>0</v>
      </c>
    </row>
    <row r="67" spans="2:29" s="71" customFormat="1" x14ac:dyDescent="0.3">
      <c r="B67" s="72">
        <v>301</v>
      </c>
      <c r="C67" s="71" t="s">
        <v>246</v>
      </c>
      <c r="D67" s="79">
        <v>1</v>
      </c>
      <c r="E67" s="2" t="s">
        <v>247</v>
      </c>
      <c r="F67" s="2" t="s">
        <v>248</v>
      </c>
      <c r="G67" s="77"/>
      <c r="H67" s="2" t="s">
        <v>249</v>
      </c>
      <c r="I67" s="73">
        <f t="shared" ref="I67" si="22">ROUND($D67*1,)</f>
        <v>1</v>
      </c>
      <c r="J67" s="73"/>
      <c r="K67" s="73"/>
      <c r="L67" s="73"/>
      <c r="M67" s="73">
        <f>ROUND($D67*1,)</f>
        <v>1</v>
      </c>
      <c r="N67" s="73"/>
      <c r="O67" s="73"/>
      <c r="P67" s="73"/>
      <c r="Q67" s="73"/>
      <c r="R67" s="73"/>
      <c r="S67" s="74"/>
      <c r="T67" s="75">
        <v>400</v>
      </c>
      <c r="U67" s="74">
        <v>10</v>
      </c>
      <c r="Y67" s="73" t="s">
        <v>74</v>
      </c>
      <c r="AA67" s="80">
        <f t="shared" si="19"/>
        <v>0</v>
      </c>
      <c r="AB67" s="80">
        <f t="shared" si="20"/>
        <v>0</v>
      </c>
      <c r="AC67" s="80">
        <f t="shared" si="21"/>
        <v>0</v>
      </c>
    </row>
    <row r="68" spans="2:29" s="71" customFormat="1" x14ac:dyDescent="0.3">
      <c r="B68" s="72">
        <v>301</v>
      </c>
      <c r="C68" s="71" t="s">
        <v>79</v>
      </c>
      <c r="D68" s="79">
        <v>1</v>
      </c>
      <c r="E68" s="2" t="s">
        <v>250</v>
      </c>
      <c r="F68" s="2"/>
      <c r="G68" s="71" t="s">
        <v>251</v>
      </c>
      <c r="I68" s="73"/>
      <c r="J68" s="73"/>
      <c r="K68" s="73"/>
      <c r="L68" s="73">
        <f>ROUND($D68*1,)</f>
        <v>1</v>
      </c>
      <c r="M68" s="73"/>
      <c r="N68" s="73"/>
      <c r="O68" s="73"/>
      <c r="P68" s="73"/>
      <c r="Q68" s="73"/>
      <c r="R68" s="73"/>
      <c r="S68" s="74"/>
      <c r="T68" s="75"/>
      <c r="U68" s="78"/>
      <c r="Y68" s="73" t="s">
        <v>74</v>
      </c>
      <c r="AA68" s="80">
        <f t="shared" si="19"/>
        <v>0</v>
      </c>
      <c r="AB68" s="80">
        <f t="shared" si="20"/>
        <v>0</v>
      </c>
      <c r="AC68" s="80">
        <f t="shared" si="21"/>
        <v>0</v>
      </c>
    </row>
    <row r="69" spans="2:29" s="71" customFormat="1" x14ac:dyDescent="0.3">
      <c r="B69" s="72">
        <v>301</v>
      </c>
      <c r="C69" s="71" t="s">
        <v>252</v>
      </c>
      <c r="D69" s="79">
        <v>1</v>
      </c>
      <c r="E69" s="2" t="s">
        <v>253</v>
      </c>
      <c r="F69" s="2"/>
      <c r="I69" s="73">
        <f>ROUND($D69*1,)</f>
        <v>1</v>
      </c>
      <c r="J69" s="73">
        <f>ROUND($D69*1,)</f>
        <v>1</v>
      </c>
      <c r="K69" s="73"/>
      <c r="L69" s="73"/>
      <c r="M69" s="73">
        <f>ROUND($D69*1,)</f>
        <v>1</v>
      </c>
      <c r="N69" s="73"/>
      <c r="O69" s="73"/>
      <c r="P69" s="73"/>
      <c r="Q69" s="73"/>
      <c r="R69" s="73"/>
      <c r="S69" s="74"/>
      <c r="T69" s="75"/>
      <c r="U69" s="78"/>
      <c r="Y69" s="73" t="s">
        <v>74</v>
      </c>
      <c r="AA69" s="80">
        <f t="shared" si="19"/>
        <v>0</v>
      </c>
      <c r="AB69" s="80">
        <f t="shared" si="20"/>
        <v>0</v>
      </c>
      <c r="AC69" s="80">
        <f t="shared" si="21"/>
        <v>0</v>
      </c>
    </row>
    <row r="70" spans="2:29" s="71" customFormat="1" x14ac:dyDescent="0.3">
      <c r="B70" s="72">
        <v>301</v>
      </c>
      <c r="C70" s="71" t="s">
        <v>254</v>
      </c>
      <c r="D70" s="79">
        <v>1</v>
      </c>
      <c r="E70" s="2" t="s">
        <v>255</v>
      </c>
      <c r="F70" s="2"/>
      <c r="G70" s="71" t="s">
        <v>256</v>
      </c>
      <c r="H70" s="71" t="s">
        <v>44</v>
      </c>
      <c r="I70" s="73">
        <f>ROUND($D70*1,)</f>
        <v>1</v>
      </c>
      <c r="J70" s="73"/>
      <c r="K70" s="73"/>
      <c r="L70" s="73"/>
      <c r="M70" s="73"/>
      <c r="N70" s="73"/>
      <c r="O70" s="73"/>
      <c r="P70" s="73"/>
      <c r="Q70" s="73"/>
      <c r="R70" s="73"/>
      <c r="S70" s="74"/>
      <c r="T70" s="75"/>
      <c r="U70" s="78"/>
      <c r="Y70" s="73" t="s">
        <v>74</v>
      </c>
      <c r="AA70" s="80">
        <f t="shared" si="19"/>
        <v>0</v>
      </c>
      <c r="AB70" s="80">
        <f t="shared" si="20"/>
        <v>0</v>
      </c>
      <c r="AC70" s="80">
        <f t="shared" si="21"/>
        <v>0</v>
      </c>
    </row>
    <row r="71" spans="2:29" s="71" customFormat="1" x14ac:dyDescent="0.3">
      <c r="B71" s="72">
        <v>301</v>
      </c>
      <c r="C71" s="71" t="s">
        <v>257</v>
      </c>
      <c r="D71" s="79">
        <v>1</v>
      </c>
      <c r="E71" s="2" t="s">
        <v>258</v>
      </c>
      <c r="F71" s="2"/>
      <c r="G71" s="71" t="s">
        <v>259</v>
      </c>
      <c r="I71" s="73"/>
      <c r="J71" s="73"/>
      <c r="K71" s="73"/>
      <c r="L71" s="73">
        <f>ROUND($D71*2,)</f>
        <v>2</v>
      </c>
      <c r="M71" s="73"/>
      <c r="N71" s="73"/>
      <c r="O71" s="73"/>
      <c r="P71" s="73"/>
      <c r="Q71" s="73"/>
      <c r="R71" s="73"/>
      <c r="S71" s="74"/>
      <c r="T71" s="75"/>
      <c r="U71" s="78"/>
      <c r="Y71" s="73" t="s">
        <v>74</v>
      </c>
      <c r="AA71" s="80">
        <f t="shared" si="19"/>
        <v>0</v>
      </c>
      <c r="AB71" s="80">
        <f t="shared" si="20"/>
        <v>0</v>
      </c>
      <c r="AC71" s="80">
        <f t="shared" si="21"/>
        <v>0</v>
      </c>
    </row>
    <row r="72" spans="2:29" s="71" customFormat="1" x14ac:dyDescent="0.3">
      <c r="B72" s="72">
        <v>301</v>
      </c>
      <c r="C72" s="71" t="s">
        <v>260</v>
      </c>
      <c r="D72" s="79">
        <v>1</v>
      </c>
      <c r="E72" s="2" t="s">
        <v>261</v>
      </c>
      <c r="F72" s="2"/>
      <c r="G72" s="71" t="s">
        <v>251</v>
      </c>
      <c r="I72" s="73"/>
      <c r="J72" s="73"/>
      <c r="K72" s="73"/>
      <c r="L72" s="73">
        <f>ROUND($D72*1,)</f>
        <v>1</v>
      </c>
      <c r="M72" s="73"/>
      <c r="N72" s="73"/>
      <c r="O72" s="73"/>
      <c r="P72" s="73"/>
      <c r="Q72" s="73"/>
      <c r="R72" s="73"/>
      <c r="S72" s="74"/>
      <c r="T72" s="75"/>
      <c r="U72" s="78"/>
      <c r="Y72" s="73" t="s">
        <v>74</v>
      </c>
      <c r="AA72" s="80">
        <f>IFERROR(IF(Y72="M",I72+J72+K72+L72+M72+N72,),0)</f>
        <v>0</v>
      </c>
      <c r="AB72" s="80">
        <f>IFERROR(IF(Y72="KS",I72+J72+K72+L72+M72+N72,),0)</f>
        <v>0</v>
      </c>
      <c r="AC72" s="80">
        <f>IFERROR(IF(Y72="KM",I72+J72+K72+L72+M72+N72,),0)</f>
        <v>0</v>
      </c>
    </row>
    <row r="73" spans="2:29" s="71" customFormat="1" x14ac:dyDescent="0.3">
      <c r="B73" s="72">
        <v>301</v>
      </c>
      <c r="C73" s="71" t="s">
        <v>262</v>
      </c>
      <c r="D73" s="79">
        <v>1</v>
      </c>
      <c r="E73" s="2" t="s">
        <v>263</v>
      </c>
      <c r="F73" s="2"/>
      <c r="G73" s="71" t="s">
        <v>259</v>
      </c>
      <c r="I73" s="73"/>
      <c r="J73" s="73"/>
      <c r="K73" s="73"/>
      <c r="L73" s="73">
        <f>ROUND($D73*2,)</f>
        <v>2</v>
      </c>
      <c r="M73" s="73"/>
      <c r="N73" s="73"/>
      <c r="O73" s="73"/>
      <c r="P73" s="73"/>
      <c r="Q73" s="73"/>
      <c r="R73" s="73"/>
      <c r="S73" s="74"/>
      <c r="T73" s="75"/>
      <c r="U73" s="78"/>
      <c r="Y73" s="73" t="s">
        <v>74</v>
      </c>
      <c r="AA73" s="80">
        <f t="shared" ref="AA73:AA76" si="23">IFERROR(IF(Y73="M",I73+J73+K73+L73+M73+N73,),0)</f>
        <v>0</v>
      </c>
      <c r="AB73" s="80">
        <f t="shared" ref="AB73:AB76" si="24">IFERROR(IF(Y73="KS",I73+J73+K73+L73+M73+N73,),0)</f>
        <v>0</v>
      </c>
      <c r="AC73" s="80">
        <f t="shared" ref="AC73:AC76" si="25">IFERROR(IF(Y73="KM",I73+J73+K73+L73+M73+N73,),0)</f>
        <v>0</v>
      </c>
    </row>
    <row r="74" spans="2:29" s="71" customFormat="1" x14ac:dyDescent="0.3">
      <c r="B74" s="72">
        <v>301</v>
      </c>
      <c r="C74" s="71" t="s">
        <v>264</v>
      </c>
      <c r="D74" s="79">
        <v>1</v>
      </c>
      <c r="E74" s="2" t="s">
        <v>265</v>
      </c>
      <c r="F74" s="2"/>
      <c r="G74" s="71" t="s">
        <v>227</v>
      </c>
      <c r="I74" s="73"/>
      <c r="J74" s="73"/>
      <c r="K74" s="73"/>
      <c r="L74" s="73">
        <f>ROUND($D74*1,)</f>
        <v>1</v>
      </c>
      <c r="M74" s="73"/>
      <c r="N74" s="73"/>
      <c r="O74" s="73"/>
      <c r="P74" s="73"/>
      <c r="Q74" s="73"/>
      <c r="R74" s="73"/>
      <c r="S74" s="74"/>
      <c r="T74" s="75"/>
      <c r="U74" s="78"/>
      <c r="Y74" s="73" t="s">
        <v>74</v>
      </c>
      <c r="AA74" s="80">
        <f t="shared" si="23"/>
        <v>0</v>
      </c>
      <c r="AB74" s="80">
        <f t="shared" si="24"/>
        <v>0</v>
      </c>
      <c r="AC74" s="80">
        <f t="shared" si="25"/>
        <v>0</v>
      </c>
    </row>
    <row r="75" spans="2:29" s="71" customFormat="1" x14ac:dyDescent="0.3">
      <c r="B75" s="72">
        <v>301</v>
      </c>
      <c r="C75" s="71" t="s">
        <v>121</v>
      </c>
      <c r="D75" s="79">
        <v>1</v>
      </c>
      <c r="E75" s="2" t="s">
        <v>266</v>
      </c>
      <c r="F75" s="2" t="s">
        <v>248</v>
      </c>
      <c r="G75" s="77"/>
      <c r="H75" s="2" t="s">
        <v>249</v>
      </c>
      <c r="I75" s="73">
        <f t="shared" ref="I75" si="26">ROUND($D75*1,)</f>
        <v>1</v>
      </c>
      <c r="J75" s="73"/>
      <c r="K75" s="73"/>
      <c r="L75" s="73"/>
      <c r="M75" s="73">
        <f>ROUND($D75*1,)</f>
        <v>1</v>
      </c>
      <c r="N75" s="73"/>
      <c r="O75" s="73"/>
      <c r="P75" s="73"/>
      <c r="Q75" s="73"/>
      <c r="R75" s="73"/>
      <c r="S75" s="74"/>
      <c r="T75" s="75">
        <v>400</v>
      </c>
      <c r="U75" s="78"/>
      <c r="Y75" s="73" t="s">
        <v>74</v>
      </c>
      <c r="AA75" s="80">
        <f t="shared" si="23"/>
        <v>0</v>
      </c>
      <c r="AB75" s="80">
        <f t="shared" si="24"/>
        <v>0</v>
      </c>
      <c r="AC75" s="80">
        <f t="shared" si="25"/>
        <v>0</v>
      </c>
    </row>
    <row r="76" spans="2:29" s="71" customFormat="1" x14ac:dyDescent="0.3">
      <c r="B76" s="72">
        <v>301</v>
      </c>
      <c r="C76" s="71" t="s">
        <v>267</v>
      </c>
      <c r="D76" s="79">
        <v>1</v>
      </c>
      <c r="E76" s="2" t="s">
        <v>268</v>
      </c>
      <c r="F76" s="2"/>
      <c r="G76" s="71" t="s">
        <v>224</v>
      </c>
      <c r="I76" s="73"/>
      <c r="J76" s="73">
        <f>ROUND($D76*1,)</f>
        <v>1</v>
      </c>
      <c r="K76" s="73"/>
      <c r="L76" s="73"/>
      <c r="M76" s="73"/>
      <c r="N76" s="73"/>
      <c r="O76" s="73"/>
      <c r="P76" s="73"/>
      <c r="Q76" s="73"/>
      <c r="R76" s="73"/>
      <c r="S76" s="74"/>
      <c r="T76" s="75"/>
      <c r="U76" s="78"/>
      <c r="Y76" s="73" t="s">
        <v>74</v>
      </c>
      <c r="AA76" s="80">
        <f t="shared" si="23"/>
        <v>0</v>
      </c>
      <c r="AB76" s="80">
        <f t="shared" si="24"/>
        <v>0</v>
      </c>
      <c r="AC76" s="80">
        <f t="shared" si="25"/>
        <v>0</v>
      </c>
    </row>
    <row r="77" spans="2:29" s="71" customFormat="1" x14ac:dyDescent="0.3">
      <c r="B77" s="72"/>
      <c r="D77" s="79"/>
      <c r="E77" s="2"/>
      <c r="F77" s="2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4"/>
      <c r="T77" s="75"/>
      <c r="U77" s="78"/>
      <c r="Y77" s="73"/>
      <c r="AA77" s="80"/>
      <c r="AB77" s="80"/>
      <c r="AC77" s="80"/>
    </row>
    <row r="78" spans="2:29" s="71" customFormat="1" x14ac:dyDescent="0.3">
      <c r="B78" s="72"/>
      <c r="D78" s="79">
        <v>1</v>
      </c>
      <c r="E78" s="76" t="s">
        <v>271</v>
      </c>
      <c r="F78" s="2" t="s">
        <v>272</v>
      </c>
      <c r="G78" s="71" t="s">
        <v>273</v>
      </c>
      <c r="I78" s="73"/>
      <c r="J78" s="73"/>
      <c r="K78" s="73"/>
      <c r="L78" s="73"/>
      <c r="M78" s="73"/>
      <c r="N78" s="73"/>
      <c r="O78" s="73"/>
      <c r="P78" s="73"/>
      <c r="Q78" s="73" t="s">
        <v>70</v>
      </c>
      <c r="R78" s="73" t="s">
        <v>158</v>
      </c>
      <c r="S78" s="74"/>
      <c r="T78" s="75"/>
      <c r="U78" s="78"/>
      <c r="Y78" s="73"/>
      <c r="Z78" s="81" t="str">
        <f>Q78&amp;R78</f>
        <v>Modbus RTU MRS485-3</v>
      </c>
    </row>
    <row r="79" spans="2:29" s="71" customFormat="1" x14ac:dyDescent="0.3">
      <c r="B79" s="72">
        <v>100</v>
      </c>
      <c r="C79" s="71" t="s">
        <v>52</v>
      </c>
      <c r="D79" s="72"/>
      <c r="E79" s="2" t="s">
        <v>274</v>
      </c>
      <c r="F79" s="2"/>
      <c r="G79" s="2"/>
      <c r="I79" s="73"/>
      <c r="J79" s="73"/>
      <c r="K79" s="73"/>
      <c r="L79" s="73"/>
      <c r="M79" s="73"/>
      <c r="N79" s="73"/>
      <c r="O79" s="73">
        <v>1</v>
      </c>
      <c r="P79" s="73"/>
      <c r="Q79" s="73"/>
      <c r="R79" s="73"/>
      <c r="S79" s="74"/>
      <c r="T79" s="75"/>
      <c r="U79" s="78"/>
      <c r="Y79" s="73"/>
    </row>
    <row r="80" spans="2:29" s="71" customFormat="1" x14ac:dyDescent="0.3">
      <c r="B80" s="72">
        <v>100</v>
      </c>
      <c r="C80" s="71" t="s">
        <v>275</v>
      </c>
      <c r="D80" s="72"/>
      <c r="E80" s="2" t="s">
        <v>276</v>
      </c>
      <c r="F80" s="2"/>
      <c r="G80" s="2"/>
      <c r="I80" s="73"/>
      <c r="J80" s="73"/>
      <c r="K80" s="73"/>
      <c r="L80" s="73"/>
      <c r="M80" s="73"/>
      <c r="N80" s="73"/>
      <c r="O80" s="73">
        <v>1</v>
      </c>
      <c r="P80" s="73"/>
      <c r="Q80" s="73"/>
      <c r="R80" s="73"/>
      <c r="S80" s="74"/>
      <c r="T80" s="75"/>
      <c r="U80" s="78"/>
      <c r="Y80" s="73"/>
    </row>
    <row r="81" spans="2:29" s="71" customFormat="1" x14ac:dyDescent="0.3">
      <c r="B81" s="72">
        <v>100</v>
      </c>
      <c r="C81" s="71" t="s">
        <v>160</v>
      </c>
      <c r="D81" s="72"/>
      <c r="E81" s="2" t="s">
        <v>277</v>
      </c>
      <c r="F81" s="2"/>
      <c r="G81" s="2"/>
      <c r="I81" s="73"/>
      <c r="J81" s="73"/>
      <c r="K81" s="73"/>
      <c r="L81" s="73"/>
      <c r="M81" s="73"/>
      <c r="N81" s="73"/>
      <c r="O81" s="73">
        <v>1</v>
      </c>
      <c r="P81" s="73"/>
      <c r="Q81" s="73"/>
      <c r="R81" s="73"/>
      <c r="S81" s="74"/>
      <c r="T81" s="75"/>
      <c r="U81" s="78"/>
      <c r="Y81" s="73"/>
    </row>
    <row r="82" spans="2:29" s="71" customFormat="1" x14ac:dyDescent="0.3">
      <c r="B82" s="72">
        <v>100</v>
      </c>
      <c r="C82" s="71" t="s">
        <v>278</v>
      </c>
      <c r="D82" s="72"/>
      <c r="E82" s="2" t="s">
        <v>279</v>
      </c>
      <c r="F82" s="2"/>
      <c r="G82" s="2"/>
      <c r="I82" s="73"/>
      <c r="J82" s="73"/>
      <c r="K82" s="73"/>
      <c r="L82" s="73"/>
      <c r="M82" s="73"/>
      <c r="N82" s="73"/>
      <c r="O82" s="73">
        <v>1</v>
      </c>
      <c r="P82" s="73"/>
      <c r="Q82" s="73"/>
      <c r="R82" s="73"/>
      <c r="S82" s="74"/>
      <c r="T82" s="75"/>
      <c r="U82" s="78"/>
      <c r="Y82" s="73"/>
    </row>
    <row r="83" spans="2:29" s="71" customFormat="1" x14ac:dyDescent="0.3">
      <c r="B83" s="72">
        <v>100</v>
      </c>
      <c r="C83" s="71" t="s">
        <v>280</v>
      </c>
      <c r="D83" s="72"/>
      <c r="E83" s="2" t="s">
        <v>281</v>
      </c>
      <c r="F83" s="2"/>
      <c r="G83" s="2"/>
      <c r="I83" s="73"/>
      <c r="J83" s="73"/>
      <c r="K83" s="73"/>
      <c r="L83" s="73"/>
      <c r="M83" s="73"/>
      <c r="N83" s="73"/>
      <c r="O83" s="73">
        <v>1</v>
      </c>
      <c r="P83" s="73"/>
      <c r="Q83" s="73"/>
      <c r="R83" s="73"/>
      <c r="S83" s="74"/>
      <c r="T83" s="75"/>
      <c r="U83" s="78"/>
      <c r="Y83" s="73"/>
    </row>
    <row r="84" spans="2:29" s="71" customFormat="1" x14ac:dyDescent="0.3">
      <c r="B84" s="72">
        <v>100</v>
      </c>
      <c r="C84" s="71" t="s">
        <v>282</v>
      </c>
      <c r="D84" s="72"/>
      <c r="E84" s="2" t="s">
        <v>283</v>
      </c>
      <c r="F84" s="2"/>
      <c r="G84" s="2"/>
      <c r="I84" s="73"/>
      <c r="J84" s="73"/>
      <c r="K84" s="73"/>
      <c r="L84" s="73"/>
      <c r="M84" s="73"/>
      <c r="N84" s="73"/>
      <c r="O84" s="73">
        <v>1</v>
      </c>
      <c r="P84" s="73"/>
      <c r="Q84" s="73"/>
      <c r="R84" s="73"/>
      <c r="S84" s="74"/>
      <c r="T84" s="75"/>
      <c r="U84" s="78"/>
      <c r="Y84" s="73"/>
    </row>
    <row r="85" spans="2:29" s="71" customFormat="1" x14ac:dyDescent="0.3">
      <c r="B85" s="72">
        <v>100</v>
      </c>
      <c r="C85" s="71" t="s">
        <v>284</v>
      </c>
      <c r="D85" s="72"/>
      <c r="E85" s="2" t="s">
        <v>285</v>
      </c>
      <c r="F85" s="2"/>
      <c r="G85" s="2"/>
      <c r="I85" s="73"/>
      <c r="J85" s="73"/>
      <c r="K85" s="73"/>
      <c r="L85" s="73"/>
      <c r="M85" s="73"/>
      <c r="N85" s="73"/>
      <c r="O85" s="73">
        <v>1</v>
      </c>
      <c r="P85" s="73"/>
      <c r="Q85" s="73"/>
      <c r="R85" s="73"/>
      <c r="S85" s="74"/>
      <c r="T85" s="75"/>
      <c r="U85" s="78"/>
      <c r="Y85" s="73"/>
    </row>
    <row r="86" spans="2:29" s="71" customFormat="1" x14ac:dyDescent="0.3">
      <c r="B86" s="72">
        <v>100</v>
      </c>
      <c r="C86" s="71" t="s">
        <v>286</v>
      </c>
      <c r="D86" s="72"/>
      <c r="E86" s="2" t="s">
        <v>287</v>
      </c>
      <c r="F86" s="2"/>
      <c r="G86" s="2"/>
      <c r="I86" s="73"/>
      <c r="J86" s="73"/>
      <c r="K86" s="73"/>
      <c r="L86" s="73"/>
      <c r="M86" s="73"/>
      <c r="N86" s="73"/>
      <c r="O86" s="73">
        <v>1</v>
      </c>
      <c r="P86" s="73"/>
      <c r="Q86" s="73"/>
      <c r="R86" s="73"/>
      <c r="S86" s="74"/>
      <c r="T86" s="75"/>
      <c r="U86" s="78"/>
      <c r="Y86" s="73"/>
    </row>
    <row r="87" spans="2:29" s="71" customFormat="1" x14ac:dyDescent="0.3">
      <c r="B87" s="72">
        <v>100</v>
      </c>
      <c r="C87" s="71" t="s">
        <v>288</v>
      </c>
      <c r="D87" s="72"/>
      <c r="E87" s="2" t="s">
        <v>289</v>
      </c>
      <c r="F87" s="2"/>
      <c r="G87" s="2"/>
      <c r="I87" s="73"/>
      <c r="J87" s="73"/>
      <c r="K87" s="73"/>
      <c r="L87" s="73"/>
      <c r="M87" s="73"/>
      <c r="N87" s="73"/>
      <c r="O87" s="73">
        <v>1</v>
      </c>
      <c r="P87" s="73"/>
      <c r="Q87" s="73"/>
      <c r="R87" s="73"/>
      <c r="S87" s="74"/>
      <c r="T87" s="75"/>
      <c r="U87" s="78"/>
      <c r="Y87" s="73"/>
    </row>
    <row r="88" spans="2:29" s="71" customFormat="1" x14ac:dyDescent="0.3">
      <c r="B88" s="72">
        <v>100</v>
      </c>
      <c r="C88" s="71" t="s">
        <v>290</v>
      </c>
      <c r="D88" s="72"/>
      <c r="E88" s="2" t="s">
        <v>291</v>
      </c>
      <c r="F88" s="2"/>
      <c r="G88" s="2"/>
      <c r="I88" s="73"/>
      <c r="J88" s="73"/>
      <c r="K88" s="73"/>
      <c r="L88" s="73"/>
      <c r="M88" s="73"/>
      <c r="N88" s="73"/>
      <c r="O88" s="73">
        <v>1</v>
      </c>
      <c r="P88" s="73"/>
      <c r="Q88" s="73"/>
      <c r="R88" s="73"/>
      <c r="S88" s="74"/>
      <c r="T88" s="75"/>
      <c r="U88" s="78"/>
      <c r="Y88" s="73"/>
    </row>
    <row r="89" spans="2:29" s="71" customFormat="1" x14ac:dyDescent="0.3">
      <c r="B89" s="72">
        <v>100</v>
      </c>
      <c r="C89" s="71" t="s">
        <v>292</v>
      </c>
      <c r="D89" s="72"/>
      <c r="E89" s="2" t="s">
        <v>293</v>
      </c>
      <c r="F89" s="2"/>
      <c r="G89" s="2"/>
      <c r="I89" s="73"/>
      <c r="J89" s="73"/>
      <c r="K89" s="73"/>
      <c r="L89" s="73"/>
      <c r="M89" s="73"/>
      <c r="N89" s="73"/>
      <c r="O89" s="73">
        <v>1</v>
      </c>
      <c r="P89" s="73"/>
      <c r="Q89" s="73"/>
      <c r="R89" s="73"/>
      <c r="S89" s="74"/>
      <c r="T89" s="75"/>
      <c r="U89" s="78"/>
      <c r="Y89" s="73"/>
    </row>
    <row r="90" spans="2:29" s="71" customFormat="1" x14ac:dyDescent="0.3">
      <c r="B90" s="72">
        <v>100</v>
      </c>
      <c r="C90" s="71" t="s">
        <v>79</v>
      </c>
      <c r="D90" s="72"/>
      <c r="E90" s="2" t="s">
        <v>294</v>
      </c>
      <c r="F90" s="2"/>
      <c r="G90" s="2"/>
      <c r="I90" s="73"/>
      <c r="J90" s="73"/>
      <c r="K90" s="73"/>
      <c r="L90" s="73"/>
      <c r="M90" s="73"/>
      <c r="N90" s="73"/>
      <c r="O90" s="73">
        <v>1</v>
      </c>
      <c r="P90" s="73"/>
      <c r="Q90" s="73"/>
      <c r="R90" s="73"/>
      <c r="S90" s="74"/>
      <c r="T90" s="75"/>
      <c r="U90" s="78"/>
      <c r="Y90" s="73"/>
    </row>
    <row r="91" spans="2:29" s="71" customFormat="1" x14ac:dyDescent="0.3">
      <c r="B91" s="72"/>
      <c r="D91" s="79">
        <v>1</v>
      </c>
      <c r="E91" s="2" t="s">
        <v>295</v>
      </c>
      <c r="F91" s="2"/>
      <c r="G91" s="71" t="s">
        <v>296</v>
      </c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4"/>
      <c r="T91" s="75"/>
      <c r="U91" s="78"/>
      <c r="Y91" s="73"/>
    </row>
    <row r="92" spans="2:29" s="71" customFormat="1" x14ac:dyDescent="0.3">
      <c r="B92" s="72"/>
      <c r="D92" s="79"/>
      <c r="E92" s="2"/>
      <c r="F92" s="2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4"/>
      <c r="T92" s="75"/>
      <c r="U92" s="78"/>
      <c r="Y92" s="73"/>
    </row>
    <row r="93" spans="2:29" s="71" customFormat="1" x14ac:dyDescent="0.3">
      <c r="B93" s="72"/>
      <c r="D93" s="79">
        <v>1</v>
      </c>
      <c r="E93" s="2" t="s">
        <v>155</v>
      </c>
      <c r="F93" s="2" t="s">
        <v>156</v>
      </c>
      <c r="H93" s="2" t="s">
        <v>78</v>
      </c>
      <c r="I93" s="73"/>
      <c r="J93" s="73"/>
      <c r="K93" s="73"/>
      <c r="L93" s="73"/>
      <c r="M93" s="73"/>
      <c r="N93" s="73"/>
      <c r="O93" s="73" t="s">
        <v>116</v>
      </c>
      <c r="P93" s="73" t="s">
        <v>116</v>
      </c>
      <c r="Q93" s="73" t="s">
        <v>157</v>
      </c>
      <c r="R93" s="73" t="s">
        <v>71</v>
      </c>
      <c r="S93" s="74"/>
      <c r="T93" s="75"/>
      <c r="U93" s="78"/>
      <c r="Y93" s="73"/>
      <c r="Z93" s="81" t="str">
        <f>Q93&amp;R93</f>
        <v>Comforte CXRS485-4</v>
      </c>
    </row>
    <row r="94" spans="2:29" s="71" customFormat="1" x14ac:dyDescent="0.3">
      <c r="B94" s="72"/>
      <c r="D94" s="79"/>
      <c r="E94" s="2"/>
      <c r="F94" s="2"/>
      <c r="H94" s="2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4"/>
      <c r="T94" s="75"/>
      <c r="U94" s="78"/>
      <c r="Y94" s="73"/>
      <c r="Z94" s="81"/>
    </row>
    <row r="95" spans="2:29" s="71" customFormat="1" x14ac:dyDescent="0.3">
      <c r="B95" s="72"/>
      <c r="D95" s="72"/>
      <c r="E95" s="76" t="s">
        <v>159</v>
      </c>
      <c r="F95" s="77"/>
      <c r="G95" s="77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4"/>
      <c r="T95" s="75"/>
      <c r="U95" s="78"/>
      <c r="Y95" s="73"/>
    </row>
    <row r="96" spans="2:29" s="71" customFormat="1" x14ac:dyDescent="0.3">
      <c r="B96" s="72" t="s">
        <v>126</v>
      </c>
      <c r="C96" s="71" t="s">
        <v>138</v>
      </c>
      <c r="D96" s="79">
        <v>1</v>
      </c>
      <c r="E96" s="2" t="s">
        <v>139</v>
      </c>
      <c r="F96" s="2"/>
      <c r="G96" s="71" t="s">
        <v>140</v>
      </c>
      <c r="I96" s="73">
        <f>ROUND($D96*1,)</f>
        <v>1</v>
      </c>
      <c r="J96" s="73"/>
      <c r="K96" s="73"/>
      <c r="L96" s="73"/>
      <c r="M96" s="73"/>
      <c r="N96" s="73"/>
      <c r="O96" s="73"/>
      <c r="P96" s="73"/>
      <c r="Q96" s="73"/>
      <c r="R96" s="73"/>
      <c r="S96" s="74"/>
      <c r="T96" s="75"/>
      <c r="U96" s="78"/>
      <c r="Y96" s="73" t="s">
        <v>74</v>
      </c>
      <c r="AA96" s="80">
        <f>IFERROR(IF(Y96="M",I96+J96+K96+L96+M96+N96,),0)</f>
        <v>0</v>
      </c>
      <c r="AB96" s="80">
        <f>IFERROR(IF(Y96="KS",I96+J96+K96+L96+M96+N96,),0)</f>
        <v>0</v>
      </c>
      <c r="AC96" s="80">
        <f>IFERROR(IF(Y96="KM",I96+J96+K96+L96+M96+N96,),0)</f>
        <v>0</v>
      </c>
    </row>
    <row r="97" spans="2:29" s="71" customFormat="1" x14ac:dyDescent="0.3">
      <c r="B97" s="72">
        <v>901</v>
      </c>
      <c r="C97" s="71" t="s">
        <v>160</v>
      </c>
      <c r="D97" s="79">
        <v>1</v>
      </c>
      <c r="E97" s="2" t="s">
        <v>161</v>
      </c>
      <c r="F97" s="2"/>
      <c r="H97" s="71" t="s">
        <v>162</v>
      </c>
      <c r="I97" s="73"/>
      <c r="J97" s="73">
        <v>1</v>
      </c>
      <c r="K97" s="73"/>
      <c r="L97" s="73"/>
      <c r="M97" s="73"/>
      <c r="N97" s="73"/>
      <c r="O97" s="73"/>
      <c r="P97" s="73"/>
      <c r="Q97" s="73"/>
      <c r="R97" s="73"/>
      <c r="S97" s="74"/>
      <c r="T97" s="73"/>
      <c r="U97" s="78"/>
      <c r="Y97" s="73" t="s">
        <v>74</v>
      </c>
      <c r="AA97" s="80">
        <f>IFERROR(IF(Y97="M",I97+J97+K97+L97+M97+N97,),0)</f>
        <v>0</v>
      </c>
      <c r="AB97" s="80">
        <f>IFERROR(IF(Y97="KS",I97+J97+K97+L97+M97+N97,),0)</f>
        <v>0</v>
      </c>
      <c r="AC97" s="80">
        <f>IFERROR(IF(Y97="KM",I97+J97+K97+L97+M97+N97,),0)</f>
        <v>0</v>
      </c>
    </row>
    <row r="98" spans="2:29" s="71" customFormat="1" x14ac:dyDescent="0.3">
      <c r="B98" s="72">
        <v>901</v>
      </c>
      <c r="C98" s="71" t="s">
        <v>163</v>
      </c>
      <c r="D98" s="79">
        <v>1</v>
      </c>
      <c r="E98" s="2" t="s">
        <v>164</v>
      </c>
      <c r="F98" s="2"/>
      <c r="H98" s="71" t="s">
        <v>162</v>
      </c>
      <c r="I98" s="73"/>
      <c r="J98" s="73">
        <v>1</v>
      </c>
      <c r="K98" s="73"/>
      <c r="L98" s="73"/>
      <c r="M98" s="73"/>
      <c r="N98" s="73"/>
      <c r="O98" s="73"/>
      <c r="P98" s="73"/>
      <c r="Q98" s="73"/>
      <c r="R98" s="73"/>
      <c r="S98" s="74"/>
      <c r="T98" s="73"/>
      <c r="U98" s="78"/>
      <c r="Y98" s="73" t="s">
        <v>74</v>
      </c>
      <c r="AA98" s="80">
        <f>IFERROR(IF(Y98="M",I98+J98+K98+L98+M98+N98,),0)</f>
        <v>0</v>
      </c>
      <c r="AB98" s="80">
        <f>IFERROR(IF(Y98="KS",I98+J98+K98+L98+M98+N98,),0)</f>
        <v>0</v>
      </c>
      <c r="AC98" s="80">
        <f>IFERROR(IF(Y98="KM",I98+J98+K98+L98+M98+N98,),0)</f>
        <v>0</v>
      </c>
    </row>
    <row r="99" spans="2:29" s="71" customFormat="1" x14ac:dyDescent="0.3">
      <c r="B99" s="72">
        <v>901</v>
      </c>
      <c r="C99" s="71" t="s">
        <v>165</v>
      </c>
      <c r="D99" s="79">
        <v>1</v>
      </c>
      <c r="E99" s="2" t="s">
        <v>166</v>
      </c>
      <c r="F99" s="2"/>
      <c r="H99" s="71" t="s">
        <v>167</v>
      </c>
      <c r="I99" s="73">
        <f>ROUND($D99*1,)</f>
        <v>1</v>
      </c>
      <c r="J99" s="73"/>
      <c r="K99" s="73"/>
      <c r="L99" s="73"/>
      <c r="M99" s="73"/>
      <c r="N99" s="73"/>
      <c r="O99" s="73"/>
      <c r="P99" s="73"/>
      <c r="Q99" s="73"/>
      <c r="R99" s="73"/>
      <c r="S99" s="74"/>
      <c r="T99" s="73"/>
      <c r="U99" s="78"/>
      <c r="Y99" s="73" t="s">
        <v>74</v>
      </c>
      <c r="AA99" s="80">
        <f t="shared" ref="AA99:AA101" si="27">IFERROR(IF(Y99="M",I99+J99+K99+L99+M99+N99,),0)</f>
        <v>0</v>
      </c>
      <c r="AB99" s="80">
        <f t="shared" ref="AB99:AB101" si="28">IFERROR(IF(Y99="KS",I99+J99+K99+L99+M99+N99,),0)</f>
        <v>0</v>
      </c>
      <c r="AC99" s="80">
        <f t="shared" ref="AC99:AC101" si="29">IFERROR(IF(Y99="KM",I99+J99+K99+L99+M99+N99,),0)</f>
        <v>0</v>
      </c>
    </row>
    <row r="100" spans="2:29" s="71" customFormat="1" x14ac:dyDescent="0.3">
      <c r="B100" s="72">
        <v>901</v>
      </c>
      <c r="C100" s="71" t="s">
        <v>168</v>
      </c>
      <c r="D100" s="79">
        <v>1</v>
      </c>
      <c r="E100" s="2" t="s">
        <v>169</v>
      </c>
      <c r="F100" s="2"/>
      <c r="I100" s="73"/>
      <c r="J100" s="73"/>
      <c r="K100" s="73">
        <f>ROUND($D100*1,)</f>
        <v>1</v>
      </c>
      <c r="L100" s="73"/>
      <c r="M100" s="73"/>
      <c r="N100" s="73"/>
      <c r="O100" s="73"/>
      <c r="P100" s="73"/>
      <c r="Q100" s="73"/>
      <c r="R100" s="73"/>
      <c r="S100" s="74"/>
      <c r="T100" s="73"/>
      <c r="U100" s="78"/>
      <c r="Y100" s="73" t="s">
        <v>74</v>
      </c>
      <c r="AA100" s="80">
        <f t="shared" si="27"/>
        <v>0</v>
      </c>
      <c r="AB100" s="80">
        <f t="shared" si="28"/>
        <v>0</v>
      </c>
      <c r="AC100" s="80">
        <f t="shared" si="29"/>
        <v>0</v>
      </c>
    </row>
    <row r="101" spans="2:29" s="71" customFormat="1" x14ac:dyDescent="0.3">
      <c r="B101" s="72">
        <v>901</v>
      </c>
      <c r="C101" s="71" t="s">
        <v>124</v>
      </c>
      <c r="D101" s="79">
        <v>1</v>
      </c>
      <c r="E101" s="2" t="s">
        <v>170</v>
      </c>
      <c r="F101" s="2"/>
      <c r="H101" s="71" t="s">
        <v>44</v>
      </c>
      <c r="I101" s="73">
        <f>ROUND($D101*1,)</f>
        <v>1</v>
      </c>
      <c r="J101" s="73"/>
      <c r="K101" s="73"/>
      <c r="L101" s="73"/>
      <c r="M101" s="73"/>
      <c r="N101" s="73"/>
      <c r="O101" s="73"/>
      <c r="P101" s="73"/>
      <c r="Q101" s="73"/>
      <c r="R101" s="73"/>
      <c r="S101" s="74"/>
      <c r="T101" s="73"/>
      <c r="U101" s="78"/>
      <c r="Y101" s="73" t="s">
        <v>74</v>
      </c>
      <c r="AA101" s="80">
        <f t="shared" si="27"/>
        <v>0</v>
      </c>
      <c r="AB101" s="80">
        <f t="shared" si="28"/>
        <v>0</v>
      </c>
      <c r="AC101" s="80">
        <f t="shared" si="29"/>
        <v>0</v>
      </c>
    </row>
    <row r="102" spans="2:29" s="71" customFormat="1" x14ac:dyDescent="0.3">
      <c r="B102" s="72">
        <v>901</v>
      </c>
      <c r="C102" s="71" t="s">
        <v>175</v>
      </c>
      <c r="D102" s="79">
        <v>1</v>
      </c>
      <c r="E102" s="2" t="s">
        <v>176</v>
      </c>
      <c r="F102" s="2"/>
      <c r="H102" s="71" t="s">
        <v>176</v>
      </c>
      <c r="I102" s="73">
        <f>ROUND($D102*1,)</f>
        <v>1</v>
      </c>
      <c r="J102" s="73"/>
      <c r="K102" s="73"/>
      <c r="L102" s="73"/>
      <c r="M102" s="73"/>
      <c r="N102" s="73"/>
      <c r="O102" s="73"/>
      <c r="P102" s="73"/>
      <c r="Q102" s="73"/>
      <c r="R102" s="73"/>
      <c r="S102" s="74"/>
      <c r="T102" s="73"/>
      <c r="U102" s="78"/>
      <c r="Y102" s="73" t="s">
        <v>74</v>
      </c>
    </row>
    <row r="103" spans="2:29" s="71" customFormat="1" x14ac:dyDescent="0.3">
      <c r="B103" s="72">
        <v>901</v>
      </c>
      <c r="C103" s="71" t="s">
        <v>177</v>
      </c>
      <c r="D103" s="79">
        <v>1</v>
      </c>
      <c r="E103" s="2" t="s">
        <v>178</v>
      </c>
      <c r="F103" s="2"/>
      <c r="H103" s="71" t="s">
        <v>179</v>
      </c>
      <c r="I103" s="73">
        <f>ROUND($D103*1,)</f>
        <v>1</v>
      </c>
      <c r="J103" s="73"/>
      <c r="K103" s="73"/>
      <c r="L103" s="73"/>
      <c r="M103" s="73"/>
      <c r="N103" s="73"/>
      <c r="O103" s="73"/>
      <c r="P103" s="73"/>
      <c r="Q103" s="73"/>
      <c r="R103" s="73"/>
      <c r="S103" s="74"/>
      <c r="T103" s="73"/>
      <c r="U103" s="78"/>
      <c r="Y103" s="73" t="s">
        <v>74</v>
      </c>
    </row>
    <row r="104" spans="2:29" s="71" customFormat="1" x14ac:dyDescent="0.3">
      <c r="B104" s="72"/>
      <c r="D104" s="79"/>
      <c r="E104" s="2"/>
      <c r="F104" s="2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4"/>
      <c r="T104" s="73"/>
      <c r="U104" s="78"/>
      <c r="Y104" s="73"/>
    </row>
    <row r="105" spans="2:29" s="71" customFormat="1" x14ac:dyDescent="0.3">
      <c r="B105" s="72"/>
      <c r="D105" s="72"/>
      <c r="E105" s="76" t="s">
        <v>180</v>
      </c>
      <c r="F105" s="77"/>
      <c r="G105" s="77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4"/>
      <c r="T105" s="73"/>
      <c r="U105" s="78"/>
      <c r="Y105" s="73"/>
    </row>
    <row r="106" spans="2:29" s="71" customFormat="1" x14ac:dyDescent="0.3">
      <c r="B106" s="72"/>
      <c r="D106" s="79">
        <v>3</v>
      </c>
      <c r="E106" s="2" t="s">
        <v>181</v>
      </c>
      <c r="F106" s="2"/>
      <c r="G106" s="77"/>
      <c r="H106" s="71" t="s">
        <v>182</v>
      </c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4"/>
      <c r="T106" s="73">
        <v>230</v>
      </c>
      <c r="U106" s="78">
        <v>10</v>
      </c>
      <c r="Y106" s="73"/>
    </row>
    <row r="107" spans="2:29" s="71" customFormat="1" x14ac:dyDescent="0.3">
      <c r="B107" s="72"/>
      <c r="D107" s="79">
        <v>1</v>
      </c>
      <c r="E107" s="2" t="s">
        <v>183</v>
      </c>
      <c r="F107" s="2"/>
      <c r="G107" s="77"/>
      <c r="H107" s="71" t="s">
        <v>184</v>
      </c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4"/>
      <c r="T107" s="73"/>
      <c r="U107" s="78"/>
      <c r="Y107" s="73"/>
    </row>
    <row r="108" spans="2:29" s="71" customFormat="1" x14ac:dyDescent="0.3">
      <c r="B108" s="72"/>
      <c r="D108" s="79">
        <v>1</v>
      </c>
      <c r="E108" s="2" t="s">
        <v>185</v>
      </c>
      <c r="F108" s="2"/>
      <c r="G108" s="77"/>
      <c r="H108" s="71" t="s">
        <v>186</v>
      </c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4"/>
      <c r="T108" s="73"/>
      <c r="U108" s="78"/>
      <c r="Y108" s="73"/>
    </row>
    <row r="109" spans="2:29" s="71" customFormat="1" x14ac:dyDescent="0.3">
      <c r="B109" s="72"/>
      <c r="D109" s="79">
        <v>1</v>
      </c>
      <c r="E109" s="2" t="s">
        <v>187</v>
      </c>
      <c r="F109" s="2"/>
      <c r="G109" s="77"/>
      <c r="H109" s="71" t="s">
        <v>188</v>
      </c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4"/>
      <c r="T109" s="73"/>
      <c r="U109" s="78"/>
      <c r="Y109" s="73"/>
    </row>
    <row r="110" spans="2:29" s="71" customFormat="1" x14ac:dyDescent="0.3">
      <c r="B110" s="72"/>
      <c r="D110" s="79">
        <v>1</v>
      </c>
      <c r="E110" s="2" t="s">
        <v>189</v>
      </c>
      <c r="F110" s="2"/>
      <c r="G110" s="77"/>
      <c r="H110" s="71" t="s">
        <v>189</v>
      </c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4"/>
      <c r="T110" s="73"/>
      <c r="U110" s="78"/>
      <c r="Y110" s="73"/>
    </row>
    <row r="111" spans="2:29" s="71" customFormat="1" x14ac:dyDescent="0.3">
      <c r="B111" s="72"/>
      <c r="D111" s="79"/>
      <c r="E111" s="2"/>
      <c r="F111" s="2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4"/>
      <c r="T111" s="73"/>
      <c r="U111" s="78"/>
      <c r="Y111" s="73"/>
    </row>
    <row r="112" spans="2:29" s="71" customFormat="1" x14ac:dyDescent="0.3">
      <c r="B112" s="72"/>
      <c r="D112" s="72">
        <v>1</v>
      </c>
      <c r="E112" s="2" t="s">
        <v>190</v>
      </c>
      <c r="F112" s="2"/>
      <c r="G112" s="2"/>
      <c r="H112" s="71" t="s">
        <v>191</v>
      </c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4"/>
      <c r="T112" s="73"/>
      <c r="U112" s="78"/>
      <c r="Y112" s="73"/>
    </row>
    <row r="113" spans="2:29" s="71" customFormat="1" x14ac:dyDescent="0.3">
      <c r="B113" s="72"/>
      <c r="D113" s="72"/>
      <c r="E113" s="2"/>
      <c r="F113" s="2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4"/>
      <c r="T113" s="73"/>
      <c r="U113" s="78"/>
      <c r="Y113" s="73"/>
    </row>
    <row r="114" spans="2:29" s="71" customFormat="1" x14ac:dyDescent="0.3">
      <c r="B114" s="72"/>
      <c r="D114" s="79"/>
      <c r="E114" s="2"/>
      <c r="F114" s="2"/>
      <c r="G114" s="2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4"/>
      <c r="T114" s="73"/>
      <c r="U114" s="78"/>
      <c r="Y114" s="73"/>
    </row>
    <row r="115" spans="2:29" s="71" customFormat="1" x14ac:dyDescent="0.3">
      <c r="B115" s="72"/>
      <c r="D115" s="79"/>
      <c r="E115" s="2"/>
      <c r="F115" s="2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4"/>
      <c r="T115" s="75"/>
      <c r="U115" s="78"/>
      <c r="Y115" s="73"/>
      <c r="AA115" s="80"/>
      <c r="AB115" s="80"/>
      <c r="AC115" s="80"/>
    </row>
    <row r="116" spans="2:29" s="71" customFormat="1" x14ac:dyDescent="0.3">
      <c r="B116" s="72"/>
      <c r="D116" s="72"/>
      <c r="E116" s="2"/>
      <c r="F116" s="2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4"/>
      <c r="T116" s="75"/>
      <c r="U116" s="78"/>
      <c r="Y116" s="73"/>
    </row>
    <row r="117" spans="2:29" s="71" customFormat="1" x14ac:dyDescent="0.3">
      <c r="B117" s="72"/>
      <c r="D117" s="72"/>
      <c r="E117" s="2"/>
      <c r="F117" s="2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4"/>
      <c r="T117" s="75"/>
      <c r="U117" s="78"/>
      <c r="Y117" s="73"/>
    </row>
    <row r="118" spans="2:29" s="71" customFormat="1" x14ac:dyDescent="0.3">
      <c r="B118" s="72"/>
      <c r="D118" s="72"/>
      <c r="E118" s="101"/>
      <c r="F118" s="77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4"/>
      <c r="T118" s="75"/>
      <c r="U118" s="78"/>
      <c r="Y118" s="73"/>
    </row>
    <row r="119" spans="2:29" s="71" customFormat="1" x14ac:dyDescent="0.3">
      <c r="B119" s="72"/>
      <c r="D119" s="79"/>
      <c r="E119" s="2"/>
      <c r="F119" s="2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4"/>
      <c r="T119" s="75"/>
      <c r="U119" s="78"/>
      <c r="Y119" s="73"/>
    </row>
    <row r="120" spans="2:29" s="71" customFormat="1" x14ac:dyDescent="0.3">
      <c r="B120" s="72"/>
      <c r="D120" s="79"/>
      <c r="E120" s="2"/>
      <c r="F120" s="2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4"/>
      <c r="T120" s="75"/>
      <c r="U120" s="78"/>
      <c r="Y120" s="73"/>
    </row>
    <row r="121" spans="2:29" s="71" customFormat="1" x14ac:dyDescent="0.3">
      <c r="B121" s="72"/>
      <c r="D121" s="79"/>
      <c r="E121" s="2"/>
      <c r="F121" s="2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4"/>
      <c r="T121" s="75"/>
      <c r="U121" s="78"/>
      <c r="Y121" s="73"/>
    </row>
    <row r="122" spans="2:29" s="71" customFormat="1" x14ac:dyDescent="0.3">
      <c r="B122" s="72"/>
      <c r="D122" s="79"/>
      <c r="E122" s="2"/>
      <c r="F122" s="2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4"/>
      <c r="T122" s="75"/>
      <c r="U122" s="78"/>
      <c r="Y122" s="73"/>
    </row>
    <row r="123" spans="2:29" s="71" customFormat="1" x14ac:dyDescent="0.3">
      <c r="B123" s="72"/>
      <c r="D123" s="79"/>
      <c r="E123" s="2"/>
      <c r="F123" s="2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4"/>
      <c r="T123" s="75"/>
      <c r="U123" s="78"/>
      <c r="Y123" s="73"/>
    </row>
    <row r="124" spans="2:29" s="71" customFormat="1" x14ac:dyDescent="0.3">
      <c r="B124" s="72"/>
      <c r="D124" s="84" t="s">
        <v>192</v>
      </c>
      <c r="E124" s="85"/>
      <c r="F124" s="2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4"/>
      <c r="T124" s="75"/>
      <c r="U124" s="78"/>
      <c r="Y124" s="73"/>
    </row>
    <row r="125" spans="2:29" s="71" customFormat="1" x14ac:dyDescent="0.3">
      <c r="B125" s="72"/>
      <c r="D125" s="86" t="s">
        <v>193</v>
      </c>
      <c r="E125" s="87" t="s">
        <v>194</v>
      </c>
      <c r="F125" s="2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4"/>
      <c r="T125" s="75"/>
      <c r="U125" s="78"/>
      <c r="Y125" s="73"/>
    </row>
    <row r="126" spans="2:29" s="71" customFormat="1" x14ac:dyDescent="0.3">
      <c r="B126" s="72"/>
      <c r="D126" s="88" t="s">
        <v>193</v>
      </c>
      <c r="E126" s="89" t="s">
        <v>195</v>
      </c>
      <c r="F126" s="2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4"/>
      <c r="T126" s="75"/>
      <c r="U126" s="78"/>
      <c r="Y126" s="73"/>
    </row>
    <row r="127" spans="2:29" s="71" customFormat="1" x14ac:dyDescent="0.3">
      <c r="B127" s="72"/>
      <c r="D127" s="90" t="s">
        <v>193</v>
      </c>
      <c r="E127" s="91" t="s">
        <v>196</v>
      </c>
      <c r="F127" s="2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4"/>
      <c r="T127" s="75"/>
      <c r="U127" s="78"/>
      <c r="Y127" s="73"/>
    </row>
    <row r="128" spans="2:29" s="71" customFormat="1" x14ac:dyDescent="0.3">
      <c r="B128" s="72"/>
      <c r="D128" s="92" t="s">
        <v>193</v>
      </c>
      <c r="E128" s="93" t="s">
        <v>197</v>
      </c>
      <c r="F128" s="2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4"/>
      <c r="T128" s="75"/>
      <c r="U128" s="78"/>
      <c r="Y128" s="73"/>
    </row>
    <row r="129" spans="2:26" s="71" customFormat="1" x14ac:dyDescent="0.3">
      <c r="B129" s="72"/>
      <c r="D129" s="79"/>
      <c r="E129" s="2"/>
      <c r="F129" s="2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4"/>
      <c r="T129" s="75"/>
      <c r="U129" s="78"/>
      <c r="Y129" s="73"/>
    </row>
    <row r="130" spans="2:26" s="71" customFormat="1" x14ac:dyDescent="0.3">
      <c r="B130" s="72"/>
      <c r="D130" s="79"/>
      <c r="E130" s="2"/>
      <c r="F130" s="2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4"/>
      <c r="T130" s="75"/>
      <c r="U130" s="78"/>
      <c r="Y130" s="73"/>
    </row>
    <row r="131" spans="2:26" s="71" customFormat="1" x14ac:dyDescent="0.3">
      <c r="B131" s="72"/>
      <c r="D131" s="79"/>
      <c r="E131" s="2"/>
      <c r="F131" s="2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4"/>
      <c r="T131" s="75"/>
      <c r="U131" s="78"/>
      <c r="Y131" s="73"/>
    </row>
    <row r="132" spans="2:26" s="71" customFormat="1" x14ac:dyDescent="0.3">
      <c r="B132" s="72"/>
      <c r="D132" s="72"/>
      <c r="E132" s="101"/>
      <c r="F132" s="77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4"/>
      <c r="T132" s="75"/>
      <c r="U132" s="78"/>
      <c r="Y132" s="73"/>
    </row>
    <row r="133" spans="2:26" s="71" customFormat="1" x14ac:dyDescent="0.3">
      <c r="B133" s="72"/>
      <c r="D133" s="79"/>
      <c r="E133" s="2"/>
      <c r="F133" s="2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4"/>
      <c r="T133" s="75"/>
      <c r="U133" s="78"/>
      <c r="Y133" s="73"/>
      <c r="Z133" s="81"/>
    </row>
    <row r="134" spans="2:26" s="71" customFormat="1" x14ac:dyDescent="0.3">
      <c r="B134" s="72"/>
      <c r="D134" s="79"/>
      <c r="E134" s="2"/>
      <c r="F134" s="2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4"/>
      <c r="T134" s="75"/>
      <c r="U134" s="78"/>
      <c r="Y134" s="73"/>
      <c r="Z134" s="81"/>
    </row>
    <row r="135" spans="2:26" s="71" customFormat="1" x14ac:dyDescent="0.3">
      <c r="B135" s="72"/>
      <c r="D135" s="79"/>
      <c r="E135" s="2"/>
      <c r="F135" s="2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4"/>
      <c r="T135" s="75"/>
      <c r="U135" s="78"/>
      <c r="Y135" s="73"/>
      <c r="Z135" s="81"/>
    </row>
    <row r="136" spans="2:26" s="71" customFormat="1" x14ac:dyDescent="0.3">
      <c r="B136" s="72"/>
      <c r="D136" s="79"/>
      <c r="E136" s="2"/>
      <c r="F136" s="2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4"/>
      <c r="T136" s="75"/>
      <c r="U136" s="78"/>
      <c r="Y136" s="73"/>
      <c r="Z136" s="81"/>
    </row>
    <row r="137" spans="2:26" s="71" customFormat="1" x14ac:dyDescent="0.3">
      <c r="B137" s="72"/>
      <c r="D137" s="79"/>
      <c r="E137" s="2"/>
      <c r="F137" s="2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4"/>
      <c r="T137" s="75"/>
      <c r="U137" s="78"/>
      <c r="Y137" s="73"/>
      <c r="Z137" s="81"/>
    </row>
    <row r="138" spans="2:26" s="71" customFormat="1" x14ac:dyDescent="0.3">
      <c r="B138" s="72"/>
      <c r="D138" s="79"/>
      <c r="E138" s="2"/>
      <c r="F138" s="2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4"/>
      <c r="T138" s="75"/>
      <c r="U138" s="78"/>
      <c r="Y138" s="73"/>
      <c r="Z138" s="81"/>
    </row>
    <row r="139" spans="2:26" s="71" customFormat="1" x14ac:dyDescent="0.3">
      <c r="B139" s="72"/>
      <c r="D139" s="79"/>
      <c r="E139" s="2"/>
      <c r="F139" s="2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4"/>
      <c r="T139" s="75"/>
      <c r="U139" s="78"/>
      <c r="Y139" s="73"/>
      <c r="Z139" s="81"/>
    </row>
    <row r="140" spans="2:26" s="71" customFormat="1" x14ac:dyDescent="0.3">
      <c r="B140" s="72"/>
      <c r="D140" s="79"/>
      <c r="E140" s="2"/>
      <c r="F140" s="2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4"/>
      <c r="T140" s="75"/>
      <c r="U140" s="78"/>
      <c r="Y140" s="73"/>
      <c r="Z140" s="81"/>
    </row>
    <row r="141" spans="2:26" s="71" customFormat="1" x14ac:dyDescent="0.3">
      <c r="B141" s="72"/>
      <c r="D141" s="79"/>
      <c r="E141" s="2"/>
      <c r="F141" s="2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4"/>
      <c r="T141" s="75"/>
      <c r="U141" s="78"/>
      <c r="Y141" s="73"/>
      <c r="Z141" s="81"/>
    </row>
    <row r="142" spans="2:26" s="71" customFormat="1" x14ac:dyDescent="0.3">
      <c r="B142" s="72"/>
      <c r="D142" s="79"/>
      <c r="E142" s="2"/>
      <c r="F142" s="2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4"/>
      <c r="T142" s="75"/>
      <c r="U142" s="78"/>
      <c r="Y142" s="73"/>
      <c r="Z142" s="81"/>
    </row>
    <row r="143" spans="2:26" s="71" customFormat="1" x14ac:dyDescent="0.3">
      <c r="B143" s="72"/>
      <c r="D143" s="79"/>
      <c r="E143" s="2"/>
      <c r="F143" s="2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4"/>
      <c r="T143" s="75"/>
      <c r="U143" s="78"/>
      <c r="Y143" s="73"/>
      <c r="Z143" s="81"/>
    </row>
    <row r="144" spans="2:26" s="71" customFormat="1" x14ac:dyDescent="0.3">
      <c r="B144" s="72"/>
      <c r="D144" s="72"/>
      <c r="E144" s="2"/>
      <c r="F144" s="2"/>
      <c r="I144" s="73"/>
      <c r="J144" s="73"/>
      <c r="K144" s="73"/>
      <c r="L144" s="73"/>
      <c r="M144" s="73"/>
      <c r="N144" s="73"/>
      <c r="O144" s="73"/>
      <c r="P144" s="73"/>
      <c r="R144" s="73"/>
      <c r="S144" s="74"/>
      <c r="T144" s="75"/>
      <c r="U144" s="78"/>
      <c r="Y144" s="73"/>
    </row>
    <row r="145" spans="1:26" s="71" customFormat="1" x14ac:dyDescent="0.3">
      <c r="B145" s="72"/>
      <c r="D145" s="72"/>
      <c r="E145" s="2"/>
      <c r="F145" s="2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4"/>
      <c r="T145" s="75"/>
      <c r="U145" s="78"/>
      <c r="Y145" s="73"/>
    </row>
    <row r="146" spans="1:26" s="71" customFormat="1" x14ac:dyDescent="0.3">
      <c r="B146" s="72"/>
      <c r="D146" s="72"/>
      <c r="E146" s="2"/>
      <c r="F146" s="2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4"/>
      <c r="T146" s="75"/>
      <c r="U146" s="78"/>
      <c r="Y146" s="73"/>
    </row>
    <row r="147" spans="1:26" s="71" customFormat="1" x14ac:dyDescent="0.3">
      <c r="B147" s="72"/>
      <c r="D147" s="72"/>
      <c r="E147" s="2"/>
      <c r="F147" s="2"/>
      <c r="I147" s="73"/>
      <c r="J147" s="73"/>
      <c r="K147" s="73"/>
      <c r="L147" s="73"/>
      <c r="M147" s="73"/>
      <c r="N147" s="73"/>
      <c r="O147" s="73"/>
      <c r="P147" s="73"/>
      <c r="R147" s="73"/>
      <c r="S147" s="74"/>
      <c r="T147" s="75"/>
      <c r="U147" s="78"/>
      <c r="Y147" s="73"/>
    </row>
    <row r="148" spans="1:26" s="71" customFormat="1" x14ac:dyDescent="0.3">
      <c r="B148" s="72"/>
      <c r="D148" s="72"/>
      <c r="E148" s="2"/>
      <c r="F148" s="2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4"/>
      <c r="T148" s="75"/>
      <c r="U148" s="78"/>
      <c r="Y148" s="73"/>
    </row>
    <row r="149" spans="1:26" s="71" customFormat="1" x14ac:dyDescent="0.3">
      <c r="B149" s="72"/>
      <c r="D149" s="102"/>
      <c r="E149" s="2"/>
      <c r="F149" s="2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4"/>
      <c r="T149" s="75"/>
      <c r="U149" s="78"/>
      <c r="Y149" s="73"/>
    </row>
    <row r="150" spans="1:26" s="71" customFormat="1" x14ac:dyDescent="0.3">
      <c r="B150" s="72"/>
      <c r="D150" s="72"/>
      <c r="E150" s="2"/>
      <c r="F150" s="2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4"/>
      <c r="T150" s="75"/>
      <c r="U150" s="78"/>
      <c r="Y150" s="73"/>
    </row>
    <row r="151" spans="1:26" s="71" customFormat="1" x14ac:dyDescent="0.3">
      <c r="B151" s="72"/>
      <c r="D151" s="72"/>
      <c r="E151" s="2"/>
      <c r="F151" s="2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4"/>
      <c r="T151" s="75"/>
      <c r="U151" s="78"/>
      <c r="Y151" s="73"/>
    </row>
    <row r="152" spans="1:26" s="71" customFormat="1" x14ac:dyDescent="0.3">
      <c r="B152" s="72"/>
      <c r="D152" s="72"/>
      <c r="E152" s="2"/>
      <c r="F152" s="2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4"/>
      <c r="T152" s="75"/>
      <c r="U152" s="78"/>
      <c r="Y152" s="73"/>
    </row>
    <row r="153" spans="1:26" s="71" customFormat="1" x14ac:dyDescent="0.3">
      <c r="B153" s="72"/>
      <c r="D153" s="79"/>
      <c r="E153" s="2"/>
      <c r="F153" s="2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4"/>
      <c r="T153" s="75"/>
      <c r="U153" s="78"/>
      <c r="Y153" s="73"/>
    </row>
    <row r="154" spans="1:26" s="71" customFormat="1" x14ac:dyDescent="0.3">
      <c r="B154" s="72"/>
      <c r="D154" s="2"/>
      <c r="E154" s="2"/>
      <c r="F154" s="2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4"/>
      <c r="T154" s="75"/>
      <c r="U154" s="74"/>
      <c r="V154" s="73"/>
      <c r="W154" s="73"/>
      <c r="X154" s="73"/>
      <c r="Y154" s="73"/>
      <c r="Z154" s="1"/>
    </row>
    <row r="155" spans="1:26" s="71" customFormat="1" x14ac:dyDescent="0.3">
      <c r="B155" s="72"/>
      <c r="D155" s="2"/>
      <c r="E155" s="2"/>
      <c r="F155" s="2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4"/>
      <c r="T155" s="75"/>
      <c r="U155" s="74"/>
      <c r="V155" s="73"/>
      <c r="W155" s="73"/>
      <c r="X155" s="73"/>
      <c r="Y155" s="73"/>
      <c r="Z155" s="1"/>
    </row>
    <row r="156" spans="1:26" s="71" customFormat="1" x14ac:dyDescent="0.3">
      <c r="B156" s="72"/>
      <c r="D156" s="2"/>
      <c r="E156" s="2"/>
      <c r="F156" s="2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4"/>
      <c r="T156" s="75"/>
      <c r="U156" s="74"/>
      <c r="V156" s="73"/>
      <c r="W156" s="73"/>
      <c r="X156" s="73"/>
      <c r="Y156" s="73"/>
      <c r="Z156" s="1"/>
    </row>
    <row r="157" spans="1:26" s="71" customFormat="1" x14ac:dyDescent="0.3">
      <c r="B157" s="72"/>
      <c r="D157" s="2"/>
      <c r="E157" s="2"/>
      <c r="F157" s="2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4"/>
      <c r="T157" s="75"/>
      <c r="U157" s="74"/>
      <c r="V157" s="73"/>
      <c r="W157" s="73"/>
      <c r="X157" s="73"/>
      <c r="Y157" s="73"/>
      <c r="Z157" s="1"/>
    </row>
    <row r="158" spans="1:26" s="71" customFormat="1" x14ac:dyDescent="0.3">
      <c r="B158" s="72"/>
      <c r="D158" s="2"/>
      <c r="E158" s="2"/>
      <c r="F158" s="2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4"/>
      <c r="T158" s="75"/>
      <c r="U158" s="74"/>
      <c r="V158" s="73"/>
      <c r="W158" s="73"/>
      <c r="X158" s="73"/>
      <c r="Y158" s="73"/>
      <c r="Z158" s="1"/>
    </row>
    <row r="159" spans="1:26" s="71" customFormat="1" x14ac:dyDescent="0.3">
      <c r="B159" s="72"/>
      <c r="D159" s="72"/>
      <c r="E159" s="2"/>
      <c r="F159" s="2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4"/>
      <c r="T159" s="75"/>
      <c r="U159" s="78"/>
      <c r="Y159" s="73"/>
    </row>
    <row r="160" spans="1:26" s="71" customFormat="1" x14ac:dyDescent="0.3">
      <c r="A160" s="1"/>
      <c r="B160" s="2"/>
      <c r="C160" s="1"/>
      <c r="D160" s="2"/>
      <c r="E160" s="1"/>
      <c r="F160" s="1"/>
      <c r="G160" s="1"/>
      <c r="H160" s="1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4"/>
      <c r="T160" s="5"/>
      <c r="U160" s="74"/>
      <c r="V160" s="73"/>
      <c r="W160" s="73"/>
      <c r="X160" s="73"/>
      <c r="Y160" s="73"/>
      <c r="Z160" s="1"/>
    </row>
    <row r="161" spans="1:26" s="71" customFormat="1" x14ac:dyDescent="0.3">
      <c r="A161" s="1"/>
      <c r="B161" s="2"/>
      <c r="C161" s="1"/>
      <c r="D161" s="2"/>
      <c r="E161" s="1"/>
      <c r="F161" s="1"/>
      <c r="G161" s="1"/>
      <c r="H161" s="1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4"/>
      <c r="T161" s="5"/>
      <c r="U161" s="74"/>
      <c r="V161" s="73"/>
      <c r="W161" s="73"/>
      <c r="X161" s="73"/>
      <c r="Y161" s="73"/>
      <c r="Z161" s="1"/>
    </row>
    <row r="162" spans="1:26" s="71" customFormat="1" x14ac:dyDescent="0.3">
      <c r="B162" s="72"/>
      <c r="D162" s="2"/>
      <c r="E162" s="2"/>
      <c r="F162" s="2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4"/>
      <c r="T162" s="75"/>
      <c r="U162" s="74"/>
      <c r="V162" s="73"/>
      <c r="W162" s="73"/>
      <c r="X162" s="73"/>
      <c r="Y162" s="73"/>
      <c r="Z162" s="1"/>
    </row>
    <row r="163" spans="1:26" s="71" customFormat="1" x14ac:dyDescent="0.3">
      <c r="B163" s="72"/>
      <c r="D163" s="2"/>
      <c r="E163" s="2"/>
      <c r="F163" s="2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4"/>
      <c r="T163" s="75"/>
      <c r="U163" s="74"/>
      <c r="V163" s="73"/>
      <c r="W163" s="73"/>
      <c r="X163" s="73"/>
      <c r="Y163" s="73"/>
      <c r="Z163" s="1"/>
    </row>
    <row r="164" spans="1:26" s="71" customFormat="1" x14ac:dyDescent="0.3">
      <c r="B164" s="72"/>
      <c r="D164" s="77"/>
      <c r="E164" s="77"/>
      <c r="F164" s="77"/>
      <c r="G164" s="77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4"/>
      <c r="T164" s="75"/>
      <c r="U164" s="74"/>
      <c r="V164" s="73"/>
      <c r="W164" s="73"/>
      <c r="X164" s="73"/>
      <c r="Y164" s="73"/>
      <c r="Z164" s="1"/>
    </row>
    <row r="165" spans="1:26" s="71" customFormat="1" x14ac:dyDescent="0.3">
      <c r="B165" s="72"/>
      <c r="D165" s="2"/>
      <c r="E165" s="2"/>
      <c r="F165" s="2"/>
      <c r="G165" s="77"/>
      <c r="H165" s="2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4"/>
      <c r="T165" s="75"/>
      <c r="U165" s="74"/>
      <c r="V165" s="73"/>
      <c r="W165" s="73"/>
      <c r="X165" s="73"/>
      <c r="Y165" s="73"/>
      <c r="Z165" s="1"/>
    </row>
    <row r="166" spans="1:26" s="71" customFormat="1" x14ac:dyDescent="0.3">
      <c r="B166" s="72"/>
      <c r="D166" s="2"/>
      <c r="E166" s="2"/>
      <c r="F166" s="2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4"/>
      <c r="T166" s="75"/>
      <c r="U166" s="74"/>
      <c r="V166" s="73"/>
      <c r="W166" s="73"/>
      <c r="X166" s="73"/>
      <c r="Y166" s="73"/>
      <c r="Z166" s="1"/>
    </row>
    <row r="167" spans="1:26" s="71" customFormat="1" x14ac:dyDescent="0.3">
      <c r="B167" s="72"/>
      <c r="D167" s="2"/>
      <c r="E167" s="2"/>
      <c r="F167" s="2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4"/>
      <c r="T167" s="75"/>
      <c r="U167" s="74"/>
      <c r="V167" s="73"/>
      <c r="W167" s="73"/>
      <c r="X167" s="73"/>
      <c r="Y167" s="73"/>
      <c r="Z167" s="1"/>
    </row>
    <row r="168" spans="1:26" s="71" customFormat="1" x14ac:dyDescent="0.3">
      <c r="B168" s="72"/>
      <c r="D168" s="2"/>
      <c r="E168" s="2"/>
      <c r="F168" s="2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4"/>
      <c r="T168" s="75"/>
      <c r="U168" s="74"/>
      <c r="V168" s="73"/>
      <c r="W168" s="73"/>
      <c r="X168" s="73"/>
      <c r="Y168" s="73"/>
      <c r="Z168" s="1"/>
    </row>
    <row r="169" spans="1:26" s="71" customFormat="1" x14ac:dyDescent="0.3">
      <c r="B169" s="72"/>
      <c r="D169" s="2"/>
      <c r="E169" s="2"/>
      <c r="F169" s="2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4"/>
      <c r="T169" s="75"/>
      <c r="U169" s="74"/>
      <c r="V169" s="73"/>
      <c r="W169" s="73"/>
      <c r="X169" s="73"/>
      <c r="Y169" s="73"/>
      <c r="Z169" s="1"/>
    </row>
    <row r="170" spans="1:26" s="71" customFormat="1" x14ac:dyDescent="0.3">
      <c r="B170" s="72"/>
      <c r="D170" s="77"/>
      <c r="E170" s="77"/>
      <c r="F170" s="77"/>
      <c r="G170" s="77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4"/>
      <c r="T170" s="75"/>
      <c r="U170" s="74"/>
      <c r="V170" s="73"/>
      <c r="W170" s="73"/>
      <c r="X170" s="73"/>
      <c r="Y170" s="73"/>
      <c r="Z170" s="1"/>
    </row>
    <row r="171" spans="1:26" s="71" customFormat="1" x14ac:dyDescent="0.3">
      <c r="B171" s="72"/>
      <c r="D171" s="2"/>
      <c r="E171" s="2"/>
      <c r="F171" s="2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4"/>
      <c r="T171" s="75"/>
      <c r="U171" s="74"/>
      <c r="V171" s="73"/>
      <c r="W171" s="73"/>
      <c r="X171" s="73"/>
      <c r="Y171" s="73"/>
      <c r="Z171" s="1"/>
    </row>
    <row r="172" spans="1:26" s="71" customFormat="1" x14ac:dyDescent="0.3">
      <c r="B172" s="72"/>
      <c r="D172" s="2"/>
      <c r="E172" s="2"/>
      <c r="F172" s="2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4"/>
      <c r="T172" s="75"/>
      <c r="U172" s="74"/>
      <c r="V172" s="73"/>
      <c r="W172" s="73"/>
      <c r="X172" s="73"/>
      <c r="Y172" s="73"/>
      <c r="Z172" s="1"/>
    </row>
    <row r="173" spans="1:26" s="71" customFormat="1" x14ac:dyDescent="0.3">
      <c r="B173" s="72"/>
      <c r="D173" s="2"/>
      <c r="E173" s="2"/>
      <c r="F173" s="2"/>
      <c r="G173" s="77"/>
      <c r="H173" s="2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4"/>
      <c r="T173" s="75"/>
      <c r="U173" s="74"/>
      <c r="V173" s="73"/>
      <c r="W173" s="73"/>
      <c r="X173" s="73"/>
      <c r="Y173" s="73"/>
      <c r="Z173" s="1"/>
    </row>
    <row r="174" spans="1:26" s="71" customFormat="1" x14ac:dyDescent="0.3">
      <c r="B174" s="72"/>
      <c r="D174" s="2"/>
      <c r="E174" s="2"/>
      <c r="F174" s="2"/>
      <c r="G174" s="77"/>
      <c r="H174" s="2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4"/>
      <c r="T174" s="75"/>
      <c r="U174" s="74"/>
      <c r="V174" s="73"/>
      <c r="W174" s="73"/>
      <c r="X174" s="73"/>
      <c r="Y174" s="73"/>
      <c r="Z174" s="1"/>
    </row>
    <row r="175" spans="1:26" s="71" customFormat="1" x14ac:dyDescent="0.3">
      <c r="B175" s="72"/>
      <c r="D175" s="2"/>
      <c r="E175" s="2"/>
      <c r="F175" s="2"/>
      <c r="G175" s="77"/>
      <c r="H175" s="2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4"/>
      <c r="T175" s="75"/>
      <c r="U175" s="74"/>
      <c r="V175" s="73"/>
      <c r="W175" s="73"/>
      <c r="X175" s="73"/>
      <c r="Y175" s="73"/>
      <c r="Z175" s="1"/>
    </row>
    <row r="176" spans="1:26" s="71" customFormat="1" x14ac:dyDescent="0.3">
      <c r="B176" s="72"/>
      <c r="D176" s="2"/>
      <c r="E176" s="2"/>
      <c r="F176" s="2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4"/>
      <c r="T176" s="75"/>
      <c r="U176" s="74"/>
      <c r="V176" s="73"/>
      <c r="W176" s="73"/>
      <c r="X176" s="73"/>
      <c r="Y176" s="73"/>
      <c r="Z176" s="1"/>
    </row>
    <row r="177" spans="1:26" s="71" customFormat="1" x14ac:dyDescent="0.3">
      <c r="B177" s="72"/>
      <c r="D177" s="2"/>
      <c r="E177" s="2"/>
      <c r="F177" s="2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4"/>
      <c r="T177" s="75"/>
      <c r="U177" s="74"/>
      <c r="V177" s="73"/>
      <c r="W177" s="73"/>
      <c r="X177" s="73"/>
      <c r="Y177" s="73"/>
      <c r="Z177" s="1"/>
    </row>
    <row r="178" spans="1:26" s="71" customFormat="1" x14ac:dyDescent="0.3">
      <c r="B178" s="72"/>
      <c r="D178" s="2"/>
      <c r="E178" s="2"/>
      <c r="F178" s="2"/>
      <c r="G178" s="77"/>
      <c r="H178" s="2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4"/>
      <c r="T178" s="75"/>
      <c r="U178" s="74"/>
      <c r="V178" s="73"/>
      <c r="W178" s="73"/>
      <c r="X178" s="73"/>
      <c r="Y178" s="73"/>
      <c r="Z178" s="1"/>
    </row>
    <row r="179" spans="1:26" s="71" customFormat="1" x14ac:dyDescent="0.3">
      <c r="B179" s="72"/>
      <c r="D179" s="2"/>
      <c r="E179" s="2"/>
      <c r="F179" s="2"/>
      <c r="G179" s="77"/>
      <c r="H179" s="2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4"/>
      <c r="T179" s="75"/>
      <c r="U179" s="74"/>
      <c r="V179" s="73"/>
      <c r="W179" s="73"/>
      <c r="X179" s="73"/>
      <c r="Y179" s="73"/>
      <c r="Z179" s="1"/>
    </row>
    <row r="180" spans="1:26" s="71" customFormat="1" x14ac:dyDescent="0.3">
      <c r="B180" s="72"/>
      <c r="D180" s="2"/>
      <c r="E180" s="2"/>
      <c r="F180" s="2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4"/>
      <c r="T180" s="75"/>
      <c r="U180" s="74"/>
      <c r="V180" s="73"/>
      <c r="W180" s="73"/>
      <c r="X180" s="73"/>
      <c r="Y180" s="73"/>
      <c r="Z180" s="1"/>
    </row>
    <row r="181" spans="1:26" s="71" customFormat="1" x14ac:dyDescent="0.3">
      <c r="B181" s="72"/>
      <c r="D181" s="2"/>
      <c r="E181" s="2"/>
      <c r="F181" s="2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4"/>
      <c r="T181" s="75"/>
      <c r="U181" s="74"/>
      <c r="V181" s="73"/>
      <c r="W181" s="73"/>
      <c r="X181" s="73"/>
      <c r="Y181" s="73"/>
      <c r="Z181" s="1"/>
    </row>
    <row r="182" spans="1:26" s="71" customFormat="1" x14ac:dyDescent="0.3">
      <c r="B182" s="72"/>
      <c r="D182" s="77"/>
      <c r="E182" s="77"/>
      <c r="F182" s="77"/>
      <c r="G182" s="77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4"/>
      <c r="T182" s="75"/>
      <c r="U182" s="74"/>
      <c r="V182" s="73"/>
      <c r="W182" s="73"/>
      <c r="X182" s="73"/>
      <c r="Y182" s="73"/>
      <c r="Z182" s="1"/>
    </row>
    <row r="183" spans="1:26" s="71" customFormat="1" x14ac:dyDescent="0.3">
      <c r="B183" s="72"/>
      <c r="D183" s="2"/>
      <c r="E183" s="2"/>
      <c r="F183" s="2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4"/>
      <c r="T183" s="75"/>
      <c r="U183" s="74"/>
      <c r="V183" s="73"/>
      <c r="W183" s="73"/>
      <c r="X183" s="73"/>
      <c r="Y183" s="73"/>
      <c r="Z183" s="1"/>
    </row>
    <row r="184" spans="1:26" s="71" customFormat="1" x14ac:dyDescent="0.3">
      <c r="B184" s="72"/>
      <c r="D184" s="2"/>
      <c r="E184" s="2"/>
      <c r="F184" s="2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4"/>
      <c r="T184" s="75"/>
      <c r="U184" s="74"/>
      <c r="V184" s="73"/>
      <c r="W184" s="73"/>
      <c r="X184" s="73"/>
      <c r="Y184" s="73"/>
      <c r="Z184" s="1"/>
    </row>
    <row r="185" spans="1:26" s="71" customFormat="1" x14ac:dyDescent="0.3">
      <c r="B185" s="72"/>
      <c r="D185" s="2"/>
      <c r="E185" s="2"/>
      <c r="F185" s="2"/>
      <c r="G185" s="77"/>
      <c r="H185" s="2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4"/>
      <c r="T185" s="75"/>
      <c r="U185" s="74"/>
      <c r="V185" s="73"/>
      <c r="W185" s="73"/>
      <c r="X185" s="73"/>
      <c r="Y185" s="73"/>
      <c r="Z185" s="1"/>
    </row>
    <row r="186" spans="1:26" s="71" customFormat="1" x14ac:dyDescent="0.3">
      <c r="B186" s="72"/>
      <c r="D186" s="2"/>
      <c r="E186" s="2"/>
      <c r="F186" s="2"/>
      <c r="G186" s="77"/>
      <c r="H186" s="2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4"/>
      <c r="T186" s="75"/>
      <c r="U186" s="74"/>
      <c r="V186" s="73"/>
      <c r="W186" s="73"/>
      <c r="X186" s="73"/>
      <c r="Y186" s="73"/>
      <c r="Z186" s="1"/>
    </row>
    <row r="187" spans="1:26" s="71" customFormat="1" x14ac:dyDescent="0.3">
      <c r="B187" s="72"/>
      <c r="D187" s="2"/>
      <c r="E187" s="2"/>
      <c r="F187" s="2"/>
      <c r="G187" s="77"/>
      <c r="H187" s="2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4"/>
      <c r="T187" s="75"/>
      <c r="U187" s="74"/>
      <c r="V187" s="73"/>
      <c r="W187" s="73"/>
      <c r="X187" s="73"/>
      <c r="Y187" s="73"/>
      <c r="Z187" s="1"/>
    </row>
    <row r="188" spans="1:26" s="71" customFormat="1" x14ac:dyDescent="0.3">
      <c r="B188" s="72"/>
      <c r="D188" s="2"/>
      <c r="E188" s="2"/>
      <c r="F188" s="2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4"/>
      <c r="T188" s="75"/>
      <c r="U188" s="74"/>
      <c r="V188" s="73"/>
      <c r="W188" s="73"/>
      <c r="X188" s="73"/>
      <c r="Y188" s="73"/>
      <c r="Z188" s="1"/>
    </row>
    <row r="189" spans="1:26" s="71" customFormat="1" x14ac:dyDescent="0.3">
      <c r="B189" s="72"/>
      <c r="D189" s="2"/>
      <c r="E189" s="2"/>
      <c r="F189" s="2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4"/>
      <c r="T189" s="75"/>
      <c r="U189" s="74"/>
      <c r="V189" s="73"/>
      <c r="W189" s="73"/>
      <c r="X189" s="73"/>
      <c r="Y189" s="73"/>
      <c r="Z189" s="1"/>
    </row>
    <row r="190" spans="1:26" s="71" customFormat="1" x14ac:dyDescent="0.3">
      <c r="B190" s="72"/>
      <c r="D190" s="2"/>
      <c r="E190" s="2"/>
      <c r="F190" s="2"/>
      <c r="G190" s="77"/>
      <c r="H190" s="2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4"/>
      <c r="T190" s="75"/>
      <c r="U190" s="74"/>
      <c r="V190" s="73"/>
      <c r="W190" s="73"/>
      <c r="X190" s="73"/>
      <c r="Y190" s="73"/>
      <c r="Z190" s="1"/>
    </row>
    <row r="191" spans="1:26" x14ac:dyDescent="0.3">
      <c r="A191" s="71"/>
      <c r="B191" s="72"/>
      <c r="C191" s="71"/>
      <c r="E191" s="2"/>
      <c r="F191" s="2"/>
      <c r="G191" s="77"/>
      <c r="H191" s="2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4"/>
      <c r="T191" s="75"/>
      <c r="U191" s="4"/>
      <c r="V191" s="3"/>
      <c r="W191" s="3"/>
      <c r="X191" s="3"/>
    </row>
    <row r="192" spans="1:26" x14ac:dyDescent="0.3">
      <c r="A192" s="71"/>
      <c r="B192" s="72"/>
      <c r="C192" s="71"/>
      <c r="E192" s="2"/>
      <c r="F192" s="2"/>
      <c r="G192" s="71"/>
      <c r="H192" s="71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4"/>
      <c r="T192" s="75"/>
      <c r="U192" s="4"/>
      <c r="V192" s="3"/>
      <c r="W192" s="3"/>
      <c r="X192" s="3"/>
    </row>
    <row r="193" spans="1:24" x14ac:dyDescent="0.3">
      <c r="A193" s="71"/>
      <c r="B193" s="72"/>
      <c r="C193" s="71"/>
      <c r="E193" s="2"/>
      <c r="F193" s="2"/>
      <c r="G193" s="71"/>
      <c r="H193" s="71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4"/>
      <c r="T193" s="75"/>
      <c r="U193" s="4"/>
      <c r="V193" s="3"/>
      <c r="W193" s="3"/>
      <c r="X193" s="3"/>
    </row>
    <row r="194" spans="1:24" x14ac:dyDescent="0.3">
      <c r="I194" s="3"/>
      <c r="J194" s="3"/>
      <c r="K194" s="3"/>
      <c r="L194" s="3"/>
      <c r="M194" s="3"/>
      <c r="N194" s="3"/>
      <c r="O194" s="3"/>
      <c r="P194" s="3"/>
      <c r="Q194" s="3"/>
      <c r="S194" s="4"/>
      <c r="T194" s="5"/>
      <c r="U194" s="4"/>
      <c r="V194" s="3"/>
      <c r="W194" s="3"/>
      <c r="X194" s="3"/>
    </row>
    <row r="195" spans="1:24" x14ac:dyDescent="0.3">
      <c r="I195" s="3"/>
      <c r="J195" s="3"/>
      <c r="K195" s="3"/>
      <c r="L195" s="3"/>
      <c r="M195" s="3"/>
      <c r="N195" s="3"/>
      <c r="O195" s="3"/>
      <c r="P195" s="3"/>
      <c r="Q195" s="3"/>
      <c r="S195" s="4"/>
      <c r="T195" s="5"/>
      <c r="U195" s="4"/>
      <c r="V195" s="3"/>
      <c r="W195" s="3"/>
      <c r="X195" s="3"/>
    </row>
    <row r="196" spans="1:24" x14ac:dyDescent="0.3">
      <c r="I196" s="3"/>
      <c r="J196" s="3"/>
      <c r="K196" s="3"/>
      <c r="L196" s="3"/>
      <c r="M196" s="3"/>
      <c r="N196" s="3"/>
      <c r="O196" s="3"/>
      <c r="P196" s="3"/>
      <c r="Q196" s="3"/>
      <c r="S196" s="4"/>
      <c r="T196" s="5"/>
      <c r="U196" s="4"/>
      <c r="V196" s="3"/>
      <c r="W196" s="3"/>
      <c r="X196" s="3"/>
    </row>
    <row r="197" spans="1:24" x14ac:dyDescent="0.3">
      <c r="I197" s="3"/>
      <c r="J197" s="3"/>
      <c r="K197" s="3"/>
      <c r="L197" s="3"/>
      <c r="M197" s="3"/>
      <c r="N197" s="3"/>
      <c r="O197" s="3"/>
      <c r="P197" s="3"/>
      <c r="Q197" s="3"/>
      <c r="S197" s="4"/>
      <c r="T197" s="5"/>
      <c r="U197" s="4"/>
      <c r="V197" s="3"/>
      <c r="W197" s="3"/>
      <c r="X197" s="3"/>
    </row>
    <row r="198" spans="1:24" x14ac:dyDescent="0.3">
      <c r="I198" s="3"/>
      <c r="J198" s="3"/>
      <c r="K198" s="3"/>
      <c r="L198" s="3"/>
      <c r="M198" s="3"/>
      <c r="N198" s="3"/>
      <c r="O198" s="3"/>
      <c r="P198" s="3"/>
      <c r="Q198" s="3"/>
      <c r="S198" s="4"/>
      <c r="T198" s="5"/>
      <c r="U198" s="4"/>
      <c r="V198" s="3"/>
      <c r="W198" s="3"/>
      <c r="X198" s="3"/>
    </row>
    <row r="199" spans="1:24" x14ac:dyDescent="0.3">
      <c r="I199" s="3"/>
      <c r="J199" s="3"/>
      <c r="K199" s="3"/>
      <c r="L199" s="3"/>
      <c r="M199" s="3"/>
      <c r="N199" s="3"/>
      <c r="O199" s="3"/>
      <c r="P199" s="3"/>
      <c r="Q199" s="3"/>
      <c r="S199" s="4"/>
      <c r="T199" s="5"/>
      <c r="U199" s="4"/>
      <c r="V199" s="3"/>
      <c r="W199" s="3"/>
      <c r="X199" s="3"/>
    </row>
    <row r="200" spans="1:24" x14ac:dyDescent="0.3">
      <c r="I200" s="3"/>
      <c r="J200" s="3"/>
      <c r="K200" s="3"/>
      <c r="L200" s="3"/>
      <c r="M200" s="3"/>
      <c r="N200" s="3"/>
      <c r="O200" s="3"/>
      <c r="P200" s="3"/>
      <c r="Q200" s="3"/>
      <c r="S200" s="4"/>
      <c r="T200" s="5"/>
      <c r="U200" s="4"/>
      <c r="V200" s="3"/>
      <c r="W200" s="3"/>
      <c r="X200" s="3"/>
    </row>
    <row r="201" spans="1:24" x14ac:dyDescent="0.3">
      <c r="I201" s="3"/>
      <c r="J201" s="3"/>
      <c r="K201" s="3"/>
      <c r="L201" s="3"/>
      <c r="M201" s="3"/>
      <c r="N201" s="3"/>
      <c r="O201" s="3"/>
      <c r="P201" s="3"/>
      <c r="Q201" s="3"/>
      <c r="S201" s="4"/>
      <c r="T201" s="5"/>
      <c r="U201" s="4"/>
      <c r="V201" s="3"/>
      <c r="W201" s="3"/>
      <c r="X201" s="3"/>
    </row>
    <row r="202" spans="1:24" x14ac:dyDescent="0.3">
      <c r="I202" s="3"/>
      <c r="J202" s="3"/>
      <c r="K202" s="3"/>
      <c r="L202" s="3"/>
      <c r="M202" s="3"/>
      <c r="N202" s="3"/>
      <c r="O202" s="3"/>
      <c r="P202" s="3"/>
      <c r="Q202" s="3"/>
      <c r="S202" s="4"/>
      <c r="T202" s="5"/>
      <c r="U202" s="4"/>
      <c r="V202" s="3"/>
      <c r="W202" s="3"/>
      <c r="X202" s="3"/>
    </row>
    <row r="203" spans="1:24" x14ac:dyDescent="0.3">
      <c r="I203" s="3"/>
      <c r="J203" s="3"/>
      <c r="K203" s="3"/>
      <c r="L203" s="3"/>
      <c r="M203" s="3"/>
      <c r="N203" s="3"/>
      <c r="O203" s="3"/>
      <c r="P203" s="3"/>
      <c r="Q203" s="3"/>
      <c r="S203" s="4"/>
      <c r="T203" s="5"/>
      <c r="U203" s="4"/>
      <c r="V203" s="3"/>
      <c r="W203" s="3"/>
      <c r="X203" s="3"/>
    </row>
    <row r="204" spans="1:24" x14ac:dyDescent="0.3">
      <c r="I204" s="3"/>
      <c r="J204" s="3"/>
      <c r="K204" s="3"/>
      <c r="L204" s="3"/>
      <c r="M204" s="3"/>
      <c r="N204" s="3"/>
      <c r="O204" s="3"/>
      <c r="P204" s="3"/>
      <c r="Q204" s="3"/>
      <c r="S204" s="4"/>
      <c r="T204" s="5"/>
      <c r="U204" s="4"/>
      <c r="V204" s="3"/>
      <c r="W204" s="3"/>
      <c r="X204" s="3"/>
    </row>
    <row r="205" spans="1:24" x14ac:dyDescent="0.3">
      <c r="I205" s="3"/>
      <c r="J205" s="3"/>
      <c r="K205" s="3"/>
      <c r="L205" s="3"/>
      <c r="M205" s="3"/>
      <c r="N205" s="3"/>
      <c r="O205" s="3"/>
      <c r="P205" s="3"/>
      <c r="Q205" s="3"/>
      <c r="S205" s="4"/>
      <c r="T205" s="5"/>
      <c r="U205" s="4"/>
      <c r="V205" s="3"/>
      <c r="W205" s="3"/>
      <c r="X205" s="3"/>
    </row>
    <row r="206" spans="1:24" x14ac:dyDescent="0.3">
      <c r="I206" s="3"/>
      <c r="J206" s="3"/>
      <c r="K206" s="3"/>
      <c r="L206" s="3"/>
      <c r="M206" s="3"/>
      <c r="N206" s="3"/>
      <c r="O206" s="3"/>
      <c r="P206" s="3"/>
      <c r="Q206" s="3"/>
      <c r="S206" s="4"/>
      <c r="T206" s="5"/>
      <c r="U206" s="4"/>
      <c r="V206" s="3"/>
      <c r="W206" s="3"/>
      <c r="X206" s="3"/>
    </row>
    <row r="207" spans="1:24" x14ac:dyDescent="0.3">
      <c r="I207" s="3"/>
      <c r="J207" s="3"/>
      <c r="K207" s="3"/>
      <c r="L207" s="3"/>
      <c r="M207" s="3"/>
      <c r="N207" s="3"/>
      <c r="O207" s="3"/>
      <c r="P207" s="3"/>
      <c r="Q207" s="3"/>
      <c r="S207" s="4"/>
      <c r="T207" s="5"/>
      <c r="U207" s="4"/>
      <c r="V207" s="3"/>
      <c r="W207" s="3"/>
      <c r="X207" s="3"/>
    </row>
    <row r="208" spans="1:24" x14ac:dyDescent="0.3">
      <c r="I208" s="3"/>
      <c r="J208" s="3"/>
      <c r="K208" s="3"/>
      <c r="L208" s="3"/>
      <c r="M208" s="3"/>
      <c r="N208" s="3"/>
      <c r="O208" s="3"/>
      <c r="P208" s="3"/>
      <c r="Q208" s="3"/>
      <c r="S208" s="4"/>
      <c r="T208" s="5"/>
      <c r="U208" s="4"/>
      <c r="V208" s="3"/>
      <c r="W208" s="3"/>
      <c r="X208" s="3"/>
    </row>
    <row r="209" spans="9:24" x14ac:dyDescent="0.3">
      <c r="I209" s="3"/>
      <c r="J209" s="3"/>
      <c r="K209" s="3"/>
      <c r="L209" s="3"/>
      <c r="M209" s="3"/>
      <c r="N209" s="3"/>
      <c r="O209" s="3"/>
      <c r="P209" s="3"/>
      <c r="Q209" s="3"/>
      <c r="S209" s="4"/>
      <c r="T209" s="5"/>
      <c r="U209" s="4"/>
      <c r="V209" s="3"/>
      <c r="W209" s="3"/>
      <c r="X209" s="3"/>
    </row>
    <row r="210" spans="9:24" x14ac:dyDescent="0.3">
      <c r="I210" s="3"/>
      <c r="J210" s="3"/>
      <c r="K210" s="3"/>
      <c r="L210" s="3"/>
      <c r="M210" s="3"/>
      <c r="N210" s="3"/>
      <c r="O210" s="3"/>
      <c r="P210" s="3"/>
      <c r="Q210" s="3"/>
      <c r="S210" s="4"/>
      <c r="T210" s="5"/>
      <c r="U210" s="4"/>
      <c r="V210" s="3"/>
      <c r="W210" s="3"/>
      <c r="X210" s="3"/>
    </row>
    <row r="211" spans="9:24" x14ac:dyDescent="0.3">
      <c r="I211" s="3"/>
      <c r="J211" s="3"/>
      <c r="K211" s="3"/>
      <c r="L211" s="3"/>
      <c r="M211" s="3"/>
      <c r="N211" s="3"/>
      <c r="O211" s="3"/>
      <c r="P211" s="3"/>
      <c r="Q211" s="3"/>
      <c r="S211" s="4"/>
      <c r="T211" s="5"/>
      <c r="U211" s="4"/>
      <c r="V211" s="3"/>
      <c r="W211" s="3"/>
      <c r="X211" s="3"/>
    </row>
    <row r="212" spans="9:24" x14ac:dyDescent="0.3">
      <c r="I212" s="3"/>
      <c r="J212" s="3"/>
      <c r="K212" s="3"/>
      <c r="L212" s="3"/>
      <c r="M212" s="3"/>
      <c r="N212" s="3"/>
      <c r="O212" s="3"/>
      <c r="P212" s="3"/>
      <c r="Q212" s="3"/>
      <c r="S212" s="4"/>
      <c r="T212" s="5"/>
      <c r="U212" s="4"/>
      <c r="V212" s="3"/>
      <c r="W212" s="3"/>
      <c r="X212" s="3"/>
    </row>
    <row r="213" spans="9:24" x14ac:dyDescent="0.3">
      <c r="I213" s="3"/>
      <c r="J213" s="3"/>
      <c r="K213" s="3"/>
      <c r="L213" s="3"/>
      <c r="M213" s="3"/>
      <c r="N213" s="3"/>
      <c r="O213" s="3"/>
      <c r="P213" s="3"/>
      <c r="Q213" s="3"/>
      <c r="S213" s="4"/>
      <c r="T213" s="5"/>
      <c r="U213" s="4"/>
      <c r="V213" s="3"/>
      <c r="W213" s="3"/>
      <c r="X213" s="3"/>
    </row>
    <row r="214" spans="9:24" x14ac:dyDescent="0.3">
      <c r="I214" s="3"/>
      <c r="J214" s="3"/>
      <c r="K214" s="3"/>
      <c r="L214" s="3"/>
      <c r="M214" s="3"/>
      <c r="N214" s="3"/>
      <c r="O214" s="3"/>
      <c r="P214" s="3"/>
      <c r="Q214" s="3"/>
      <c r="S214" s="4"/>
      <c r="T214" s="5"/>
    </row>
    <row r="215" spans="9:24" x14ac:dyDescent="0.3">
      <c r="I215" s="3"/>
      <c r="J215" s="3"/>
      <c r="K215" s="3"/>
      <c r="L215" s="3"/>
      <c r="M215" s="3"/>
      <c r="N215" s="3"/>
      <c r="O215" s="3"/>
      <c r="P215" s="3"/>
      <c r="Q215" s="3"/>
      <c r="S215" s="4"/>
      <c r="T215" s="5"/>
    </row>
    <row r="216" spans="9:24" x14ac:dyDescent="0.3">
      <c r="I216" s="3"/>
      <c r="J216" s="3"/>
      <c r="K216" s="3"/>
      <c r="L216" s="3"/>
      <c r="M216" s="3"/>
      <c r="N216" s="3"/>
      <c r="O216" s="3"/>
      <c r="P216" s="3"/>
      <c r="Q216" s="3"/>
      <c r="S216" s="4"/>
      <c r="T216" s="5"/>
    </row>
  </sheetData>
  <mergeCells count="4">
    <mergeCell ref="B7:C7"/>
    <mergeCell ref="I7:P7"/>
    <mergeCell ref="S7:U7"/>
    <mergeCell ref="V7:X7"/>
  </mergeCells>
  <dataValidations count="29">
    <dataValidation type="list" allowBlank="1" showInputMessage="1" showErrorMessage="1" sqref="G96" xr:uid="{8FE84E6C-D1E3-4D69-9271-44D3BB3BA832}">
      <formula1>Diversen</formula1>
    </dataValidation>
    <dataValidation type="list" allowBlank="1" showInputMessage="1" showErrorMessage="1" sqref="G78 G91:G92" xr:uid="{C1861E2D-7A6A-4C7C-9D04-4DB87F8F786A}">
      <formula1>Weerstation</formula1>
    </dataValidation>
    <dataValidation type="list" allowBlank="1" showInputMessage="1" showErrorMessage="1" sqref="Q79:Q85 Q87:Q89" xr:uid="{60DE0AF3-1E47-4EF3-96D1-B7AD72373D3B}">
      <formula1>Koppelingen</formula1>
    </dataValidation>
    <dataValidation type="list" allowBlank="1" showInputMessage="1" showErrorMessage="1" sqref="H112" xr:uid="{80F8429D-C034-4BF5-89A2-2D9C2486B627}">
      <formula1>Regelkast_extra</formula1>
    </dataValidation>
    <dataValidation type="list" allowBlank="1" showInputMessage="1" showErrorMessage="1" sqref="H109:H110" xr:uid="{D1A2E49A-A93F-4E57-BC13-9B93A7C1D2B5}">
      <formula1>Opties_regelkast</formula1>
    </dataValidation>
    <dataValidation type="list" allowBlank="1" showInputMessage="1" showErrorMessage="1" sqref="H97:H100" xr:uid="{8797B115-0F87-4BAE-B35F-DBDD71C0622E}">
      <formula1>Regelkast_algemeen_1</formula1>
    </dataValidation>
    <dataValidation type="list" allowBlank="1" showInputMessage="1" showErrorMessage="1" sqref="H102" xr:uid="{EF9A8E86-8DB9-40E1-81AC-CB2E9EB64B52}">
      <formula1>Regelkast_FB</formula1>
    </dataValidation>
    <dataValidation type="list" allowBlank="1" showInputMessage="1" showErrorMessage="1" sqref="H106 H108" xr:uid="{B6C0CEFD-2D67-43C3-A354-0C3335F310B8}">
      <formula1>Stuurstroomvoorziening</formula1>
    </dataValidation>
    <dataValidation type="list" allowBlank="1" showInputMessage="1" showErrorMessage="1" sqref="H103 H111" xr:uid="{65C32140-7889-4B1B-A355-F66AE40E737F}">
      <formula1>Regelkast_OSB_FB</formula1>
    </dataValidation>
    <dataValidation type="list" allowBlank="1" showInputMessage="1" showErrorMessage="1" sqref="H107" xr:uid="{2659C7BC-698C-469B-AE33-619D3D614589}">
      <formula1>TrafoStuurstroom</formula1>
    </dataValidation>
    <dataValidation type="list" allowBlank="1" showInputMessage="1" showErrorMessage="1" sqref="Y97:Y98" xr:uid="{C4020C86-4052-4722-A936-C1BE860F6593}">
      <formula1>"S,M"</formula1>
    </dataValidation>
    <dataValidation type="list" allowBlank="1" showInputMessage="1" showErrorMessage="1" sqref="G19 G29" xr:uid="{40020D66-9C49-4044-A364-42172716E252}">
      <formula1>Afsluiters_2OD</formula1>
    </dataValidation>
    <dataValidation type="list" allowBlank="1" showInputMessage="1" showErrorMessage="1" sqref="G18 G28" xr:uid="{96BFFC84-5C16-48D6-B463-52C7FB636C35}">
      <formula1>Warmte_koudemeters</formula1>
    </dataValidation>
    <dataValidation type="list" allowBlank="1" showInputMessage="1" showErrorMessage="1" sqref="Q12:Q13 Q18 Q28 Q22:Q23 Q78 Q93:Q94 Q15 Q25 Q40 Q63" xr:uid="{3857E68A-2233-4A1E-838A-A39D1B658A99}">
      <formula1>Protocollen</formula1>
    </dataValidation>
    <dataValidation type="list" allowBlank="1" showInputMessage="1" showErrorMessage="1" sqref="R12:R13 R18 R28 R22:R23 R78 R93:R94 R15 R25 R40 R63" xr:uid="{8B3C37D7-E6EE-4C8A-998D-6F4A824CDFE6}">
      <formula1>Lijnen</formula1>
    </dataValidation>
    <dataValidation type="list" allowBlank="1" showInputMessage="1" showErrorMessage="1" sqref="H20 H30" xr:uid="{7A5CE6E3-6FE6-4E6F-9836-0D023E834F6F}">
      <formula1>Voeding_tracing</formula1>
    </dataValidation>
    <dataValidation type="list" allowBlank="1" showInputMessage="1" showErrorMessage="1" sqref="G14 G24" xr:uid="{D0570B94-D3BD-4A86-A912-D413877F6DF8}">
      <formula1>Regelafsluiter_3_weg</formula1>
    </dataValidation>
    <dataValidation type="list" allowBlank="1" showInputMessage="1" showErrorMessage="1" sqref="G39 G62" xr:uid="{93A4F2C6-959E-464B-B035-79A8E1825A8F}">
      <formula1>Regelafsluiter_2_weg_drukgecompenseerd</formula1>
    </dataValidation>
    <dataValidation type="list" allowBlank="1" showInputMessage="1" showErrorMessage="1" sqref="G41:G43 G64:G66 G26:G27 G16:G17" xr:uid="{5DFB814A-4246-4F17-83B5-CF66741F3FC6}">
      <formula1>Temperatuursensoren</formula1>
    </dataValidation>
    <dataValidation type="list" allowBlank="1" showInputMessage="1" showErrorMessage="1" sqref="G35 G45 G51 G37 G49 G58 G68 G74 G60 G72" xr:uid="{64458932-1A10-4451-B2E1-F1CB2A0AAB65}">
      <formula1>Drukopnemers</formula1>
    </dataValidation>
    <dataValidation type="list" allowBlank="1" showInputMessage="1" showErrorMessage="1" sqref="G36 G59" xr:uid="{8A6EE089-E3D6-4F22-BFFF-33DC29CDAA4E}">
      <formula1>Luchtklepservo_010V</formula1>
    </dataValidation>
    <dataValidation type="list" allowBlank="1" showInputMessage="1" showErrorMessage="1" sqref="G47 G70" xr:uid="{02E6745A-5DD3-4928-9C95-F0CA38AE6E57}">
      <formula1>RV_sensoren</formula1>
    </dataValidation>
    <dataValidation type="list" allowBlank="1" showInputMessage="1" showErrorMessage="1" sqref="H40 H63 H15 H25" xr:uid="{F803C633-D80D-4EE6-8F72-7BB991F99894}">
      <formula1>Pompvoedingen</formula1>
    </dataValidation>
    <dataValidation type="list" allowBlank="1" showInputMessage="1" showErrorMessage="1" sqref="H33 H44 H52 H56 H67 H75 H93:H94" xr:uid="{4B94E354-744B-4161-BEE5-6349D9C0EA6F}">
      <formula1>Voedingen</formula1>
    </dataValidation>
    <dataValidation type="list" allowBlank="1" showInputMessage="1" showErrorMessage="1" sqref="H34 H43 H47 H53 H38 H57 H66 H70 H76 H61 H19 H21 H29 H31 H101" xr:uid="{4B313BDB-0D78-4452-953F-5CA1A475A7FE}">
      <formula1>Hulprelais</formula1>
    </dataValidation>
    <dataValidation type="list" allowBlank="1" showInputMessage="1" showErrorMessage="1" sqref="G115 G48 G50 G54 G71 G73 G77" xr:uid="{B5E90540-D2C2-4559-BEF8-C82749226B5B}">
      <formula1>Combinatiesensoren</formula1>
    </dataValidation>
    <dataValidation type="list" allowBlank="1" showInputMessage="1" showErrorMessage="1" sqref="Y115 Y29:Y31 Y19:Y21 Y99:Y103 Y14 Y24 Y33:Y39 Y56:Y62 Y64:Y77 Y41:Y54 Y26:Y27 Y16:Y17 Y96" xr:uid="{F69F200E-0AA6-43D4-9342-8BF5FFA14074}">
      <formula1>"S,M,KS,KM"</formula1>
    </dataValidation>
    <dataValidation type="list" allowBlank="1" showInputMessage="1" showErrorMessage="1" sqref="G115 G34 G38 G53:G54 G57 G61 G76:G77" xr:uid="{BB0DAC0F-5FA8-485F-B572-A24DA1C497DB}">
      <formula1>Luchtklepservo_OD</formula1>
    </dataValidation>
    <dataValidation operator="equal" allowBlank="1" showInputMessage="1" showErrorMessage="1" sqref="S7 V7 R8:X9 J8:P9 I2:X6 I7:I9 Q7:Q9 D2:H9" xr:uid="{0B5D6A96-D8EF-4E29-A0CF-E4223F450363}"/>
  </dataValidations>
  <pageMargins left="0.19685039370078741" right="0.11811023622047245" top="0.55118110236220474" bottom="0.55118110236220474" header="0.31496062992125984" footer="0.31496062992125984"/>
  <pageSetup paperSize="9" scale="64" fitToHeight="0" orientation="landscape" cellComments="atEnd" r:id="rId1"/>
  <headerFooter>
    <oddHeader>&amp;L&amp;"-,Standaard"&amp;14&amp;KC3002FBijlage: Functielijst</oddHeader>
    <oddFooter>&amp;C&amp;"Calibri,Standaard"&amp;11Pagina &amp;P van &amp;N</oddFooter>
  </headerFooter>
  <rowBreaks count="3" manualBreakCount="3">
    <brk id="30" min="3" max="16" man="1"/>
    <brk id="53" min="3" max="16" man="1"/>
    <brk id="76" min="3" max="1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7DF0D-94FA-4EDD-BAE2-49A5CC5A444C}">
  <sheetPr codeName="Blad16">
    <tabColor rgb="FF00FF00"/>
    <pageSetUpPr fitToPage="1"/>
  </sheetPr>
  <dimension ref="A1:AA106"/>
  <sheetViews>
    <sheetView showZeros="0" zoomScaleNormal="100" workbookViewId="0">
      <pane xSplit="3" ySplit="9" topLeftCell="D61" activePane="bottomRight" state="frozen"/>
      <selection activeCell="H111" sqref="H111"/>
      <selection pane="topRight" activeCell="H111" sqref="H111"/>
      <selection pane="bottomLeft" activeCell="H111" sqref="H111"/>
      <selection pane="bottomRight" activeCell="H111" sqref="H111"/>
    </sheetView>
  </sheetViews>
  <sheetFormatPr defaultColWidth="9" defaultRowHeight="17.25" x14ac:dyDescent="0.3"/>
  <cols>
    <col min="1" max="1" width="1.75" style="71" customWidth="1"/>
    <col min="2" max="2" width="9.125" style="71" hidden="1" customWidth="1"/>
    <col min="3" max="3" width="9" style="71" hidden="1" customWidth="1"/>
    <col min="4" max="4" width="8.875" style="72" customWidth="1"/>
    <col min="5" max="5" width="58.625" style="71" customWidth="1"/>
    <col min="6" max="6" width="40.125" style="71" customWidth="1"/>
    <col min="7" max="7" width="58.625" style="71" customWidth="1"/>
    <col min="8" max="12" width="5.125" style="71" customWidth="1"/>
    <col min="13" max="13" width="20.875" style="71" customWidth="1"/>
    <col min="14" max="16" width="4.25" style="1" hidden="1" customWidth="1"/>
    <col min="17" max="19" width="8.875" style="1" hidden="1" customWidth="1"/>
    <col min="20" max="26" width="3" style="71" customWidth="1"/>
    <col min="27" max="27" width="9" style="71" customWidth="1"/>
    <col min="28" max="16384" width="9" style="71"/>
  </cols>
  <sheetData>
    <row r="1" spans="1:27" x14ac:dyDescent="0.3">
      <c r="B1" s="2"/>
      <c r="C1" s="1"/>
      <c r="H1" s="73"/>
      <c r="I1" s="73"/>
      <c r="J1" s="73"/>
      <c r="K1" s="73"/>
      <c r="L1" s="73"/>
      <c r="M1" s="73"/>
      <c r="N1" s="3"/>
      <c r="O1" s="3"/>
      <c r="P1" s="3"/>
      <c r="Q1" s="3"/>
      <c r="R1" s="3"/>
      <c r="S1" s="3"/>
    </row>
    <row r="2" spans="1:27" x14ac:dyDescent="0.3">
      <c r="B2" s="6"/>
      <c r="C2" s="7"/>
      <c r="D2" s="8" t="s">
        <v>0</v>
      </c>
      <c r="E2" s="9" t="str">
        <f>[1]Specificatie_uren!$E$2</f>
        <v>NB Amarant Kloppend Hart - Tilburg</v>
      </c>
      <c r="F2" s="103"/>
      <c r="G2" s="104"/>
      <c r="H2" s="105"/>
      <c r="I2" s="105"/>
      <c r="J2" s="105"/>
      <c r="K2" s="105"/>
      <c r="L2" s="105"/>
      <c r="M2" s="106"/>
      <c r="N2" s="107"/>
      <c r="O2" s="108"/>
      <c r="P2" s="108"/>
      <c r="Q2" s="107"/>
      <c r="R2" s="108"/>
      <c r="S2" s="108"/>
    </row>
    <row r="3" spans="1:27" x14ac:dyDescent="0.3">
      <c r="B3" s="21"/>
      <c r="C3" s="22"/>
      <c r="D3" s="8" t="s">
        <v>1</v>
      </c>
      <c r="E3" s="9" t="str">
        <f>[1]Specificatie_uren!$E$3</f>
        <v xml:space="preserve">V26-0899-1A </v>
      </c>
      <c r="F3" s="103"/>
      <c r="G3" s="109"/>
      <c r="H3" s="110"/>
      <c r="I3" s="110"/>
      <c r="J3" s="110"/>
      <c r="K3" s="110"/>
      <c r="L3" s="110"/>
      <c r="M3" s="111"/>
      <c r="N3" s="112"/>
      <c r="O3" s="31"/>
      <c r="P3" s="113"/>
      <c r="Q3" s="112"/>
      <c r="R3" s="31"/>
      <c r="S3" s="113"/>
    </row>
    <row r="4" spans="1:27" x14ac:dyDescent="0.3">
      <c r="B4" s="21"/>
      <c r="C4" s="22"/>
      <c r="D4" s="8" t="s">
        <v>3</v>
      </c>
      <c r="E4" s="114" t="s">
        <v>297</v>
      </c>
      <c r="F4" s="103"/>
      <c r="G4" s="115"/>
      <c r="H4" s="110"/>
      <c r="I4" s="110"/>
      <c r="J4" s="110"/>
      <c r="K4" s="110"/>
      <c r="L4" s="110"/>
      <c r="M4" s="111"/>
      <c r="N4" s="112"/>
      <c r="O4" s="31"/>
      <c r="P4" s="113"/>
      <c r="Q4" s="112"/>
      <c r="R4" s="31"/>
      <c r="S4" s="113"/>
    </row>
    <row r="5" spans="1:27" hidden="1" x14ac:dyDescent="0.3">
      <c r="B5" s="21"/>
      <c r="C5" s="22"/>
      <c r="D5" s="8" t="s">
        <v>5</v>
      </c>
      <c r="E5" s="37">
        <f ca="1">TODAY()</f>
        <v>46204</v>
      </c>
      <c r="F5" s="116"/>
      <c r="G5" s="109"/>
      <c r="H5" s="110"/>
      <c r="I5" s="110"/>
      <c r="J5" s="110"/>
      <c r="K5" s="110"/>
      <c r="L5" s="110"/>
      <c r="M5" s="117"/>
      <c r="N5" s="118"/>
      <c r="O5" s="31"/>
      <c r="P5" s="113"/>
      <c r="Q5" s="118"/>
      <c r="R5" s="31"/>
      <c r="S5" s="113"/>
    </row>
    <row r="6" spans="1:27" hidden="1" x14ac:dyDescent="0.3">
      <c r="B6" s="21"/>
      <c r="C6" s="40"/>
      <c r="D6" s="103"/>
      <c r="E6" s="104"/>
      <c r="F6" s="104"/>
      <c r="G6" s="104"/>
      <c r="H6" s="105"/>
      <c r="I6" s="105"/>
      <c r="J6" s="105"/>
      <c r="K6" s="105"/>
      <c r="L6" s="105"/>
      <c r="M6" s="119"/>
      <c r="N6" s="108"/>
      <c r="O6" s="108"/>
      <c r="P6" s="108"/>
      <c r="Q6" s="108"/>
      <c r="R6" s="108"/>
      <c r="S6" s="108"/>
    </row>
    <row r="7" spans="1:27" x14ac:dyDescent="0.3">
      <c r="A7" s="120"/>
      <c r="B7" s="138" t="s">
        <v>7</v>
      </c>
      <c r="C7" s="139"/>
      <c r="D7" s="121"/>
      <c r="E7" s="96"/>
      <c r="F7" s="121"/>
      <c r="G7" s="96"/>
      <c r="H7" s="148"/>
      <c r="I7" s="148"/>
      <c r="J7" s="148"/>
      <c r="K7" s="148"/>
      <c r="L7" s="122"/>
      <c r="M7" s="119" t="s">
        <v>2</v>
      </c>
      <c r="N7" s="149" t="s">
        <v>8</v>
      </c>
      <c r="O7" s="149"/>
      <c r="P7" s="149"/>
      <c r="Q7" s="149" t="s">
        <v>9</v>
      </c>
      <c r="R7" s="150"/>
      <c r="S7" s="150"/>
    </row>
    <row r="8" spans="1:27" ht="15" customHeight="1" x14ac:dyDescent="0.3">
      <c r="B8" s="52"/>
      <c r="C8" s="49"/>
      <c r="D8" s="121" t="s">
        <v>10</v>
      </c>
      <c r="E8" s="96" t="s">
        <v>11</v>
      </c>
      <c r="F8" s="121" t="s">
        <v>298</v>
      </c>
      <c r="G8" s="96" t="s">
        <v>13</v>
      </c>
      <c r="H8" s="123" t="s">
        <v>14</v>
      </c>
      <c r="I8" s="123" t="s">
        <v>16</v>
      </c>
      <c r="J8" s="123" t="s">
        <v>17</v>
      </c>
      <c r="K8" s="123" t="s">
        <v>19</v>
      </c>
      <c r="L8" s="124"/>
      <c r="M8" s="125" t="s">
        <v>299</v>
      </c>
      <c r="N8" s="65" t="s">
        <v>24</v>
      </c>
      <c r="O8" s="65" t="s">
        <v>26</v>
      </c>
      <c r="P8" s="65" t="s">
        <v>25</v>
      </c>
      <c r="Q8" s="65" t="s">
        <v>27</v>
      </c>
      <c r="R8" s="65" t="s">
        <v>28</v>
      </c>
      <c r="S8" s="65" t="s">
        <v>29</v>
      </c>
    </row>
    <row r="9" spans="1:27" ht="15" customHeight="1" x14ac:dyDescent="0.3">
      <c r="B9" s="61" t="s">
        <v>31</v>
      </c>
      <c r="C9" s="62" t="s">
        <v>32</v>
      </c>
      <c r="D9" s="126"/>
      <c r="E9" s="126"/>
      <c r="F9" s="64" t="s">
        <v>34</v>
      </c>
      <c r="G9" s="126"/>
      <c r="H9" s="127">
        <f>SUM(H10:H1072)</f>
        <v>0</v>
      </c>
      <c r="I9" s="127">
        <f>SUM(I10:I1072)</f>
        <v>275</v>
      </c>
      <c r="J9" s="127">
        <f>SUM(J10:J1072)</f>
        <v>82</v>
      </c>
      <c r="K9" s="127">
        <f>SUM(K10:K1072)</f>
        <v>112</v>
      </c>
      <c r="L9" s="127">
        <f>SUM(L10:L1072)</f>
        <v>0</v>
      </c>
      <c r="M9" s="125" t="s">
        <v>300</v>
      </c>
      <c r="N9" s="65">
        <f>SUM(N10:N1073)</f>
        <v>0</v>
      </c>
      <c r="O9" s="65">
        <f>SUM(O10:O1073)</f>
        <v>0</v>
      </c>
      <c r="P9" s="65">
        <f>SUM(P10:P1073)</f>
        <v>0</v>
      </c>
      <c r="Q9" s="65"/>
      <c r="R9" s="65"/>
      <c r="S9" s="65"/>
    </row>
    <row r="10" spans="1:27" s="128" customFormat="1" x14ac:dyDescent="0.3">
      <c r="B10" s="129"/>
      <c r="D10" s="130"/>
      <c r="E10" s="131"/>
      <c r="F10" s="132"/>
      <c r="H10" s="133"/>
      <c r="I10" s="133"/>
      <c r="J10" s="133"/>
      <c r="K10" s="133"/>
      <c r="L10" s="133"/>
      <c r="M10" s="133"/>
    </row>
    <row r="11" spans="1:27" x14ac:dyDescent="0.3">
      <c r="B11" s="72"/>
      <c r="D11" s="134"/>
      <c r="E11" s="76" t="s">
        <v>301</v>
      </c>
      <c r="H11" s="73"/>
      <c r="I11" s="73"/>
      <c r="J11" s="73"/>
      <c r="K11" s="73"/>
      <c r="L11" s="73"/>
      <c r="M11" s="73"/>
      <c r="N11" s="80"/>
      <c r="O11" s="73"/>
      <c r="P11" s="73"/>
      <c r="Q11" s="71"/>
      <c r="R11" s="71"/>
      <c r="S11" s="71"/>
      <c r="T11" s="80"/>
      <c r="U11" s="73"/>
      <c r="V11" s="73"/>
      <c r="X11" s="80"/>
      <c r="Y11" s="80"/>
      <c r="Z11" s="80"/>
      <c r="AA11" s="80"/>
    </row>
    <row r="12" spans="1:27" x14ac:dyDescent="0.3">
      <c r="B12" s="72"/>
      <c r="D12" s="134"/>
      <c r="E12" s="76"/>
      <c r="H12" s="73"/>
      <c r="I12" s="73"/>
      <c r="J12" s="73"/>
      <c r="K12" s="73"/>
      <c r="L12" s="73"/>
      <c r="M12" s="73"/>
      <c r="N12" s="80"/>
      <c r="O12" s="73"/>
      <c r="P12" s="73"/>
      <c r="Q12" s="71"/>
      <c r="R12" s="71"/>
      <c r="S12" s="71"/>
      <c r="T12" s="80"/>
      <c r="U12" s="73"/>
      <c r="V12" s="73"/>
      <c r="X12" s="80"/>
      <c r="Y12" s="80"/>
      <c r="Z12" s="80"/>
      <c r="AA12" s="80"/>
    </row>
    <row r="13" spans="1:27" x14ac:dyDescent="0.3">
      <c r="B13" s="72"/>
      <c r="D13" s="135"/>
      <c r="E13" s="76" t="s">
        <v>302</v>
      </c>
      <c r="F13" s="136"/>
      <c r="H13" s="73"/>
      <c r="I13" s="73"/>
      <c r="J13" s="73"/>
      <c r="K13" s="73"/>
      <c r="L13" s="73"/>
      <c r="M13" s="73"/>
      <c r="N13" s="80"/>
      <c r="O13" s="73"/>
      <c r="P13" s="73"/>
      <c r="Q13" s="71"/>
      <c r="R13" s="71"/>
      <c r="S13" s="71"/>
      <c r="T13" s="80"/>
      <c r="U13" s="73"/>
      <c r="V13" s="73"/>
      <c r="X13" s="80"/>
      <c r="Y13" s="80"/>
      <c r="Z13" s="80"/>
      <c r="AA13" s="80"/>
    </row>
    <row r="14" spans="1:27" x14ac:dyDescent="0.3">
      <c r="B14" s="72"/>
      <c r="D14" s="79">
        <v>16</v>
      </c>
      <c r="E14" s="71" t="s">
        <v>303</v>
      </c>
      <c r="G14" s="71" t="s">
        <v>304</v>
      </c>
      <c r="H14" s="73"/>
      <c r="I14" s="73"/>
      <c r="J14" s="73"/>
      <c r="K14" s="73"/>
      <c r="L14" s="73"/>
      <c r="M14" s="73"/>
      <c r="N14" s="80"/>
      <c r="O14" s="80"/>
      <c r="P14" s="80"/>
      <c r="Q14" s="80"/>
      <c r="R14" s="71"/>
      <c r="S14" s="71"/>
      <c r="T14" s="80">
        <f t="shared" ref="T14:W23" si="0">IF($M14="R",H14,)</f>
        <v>0</v>
      </c>
      <c r="U14" s="80">
        <f t="shared" si="0"/>
        <v>0</v>
      </c>
      <c r="V14" s="80">
        <f t="shared" si="0"/>
        <v>0</v>
      </c>
      <c r="W14" s="80">
        <f t="shared" si="0"/>
        <v>0</v>
      </c>
      <c r="X14" s="80"/>
      <c r="Y14" s="80">
        <f t="shared" ref="Y14:Y22" si="1">IF($M14="A",J14,)</f>
        <v>0</v>
      </c>
      <c r="Z14" s="80">
        <f t="shared" ref="Z14:Z22" si="2">IF($M14="A",H14+I14+K14,)-IF(G14="Relais-uitgangsmodule 2x zonwering Comforte CX RO2-2 GST18",1,)-IF(G14="Relais-uitgangsmodule 2x verlichting Comforte CX RO2-1L GST1",2,)</f>
        <v>0</v>
      </c>
      <c r="AA14" s="80"/>
    </row>
    <row r="15" spans="1:27" x14ac:dyDescent="0.3">
      <c r="B15" s="72"/>
      <c r="D15" s="79">
        <v>16</v>
      </c>
      <c r="E15" s="71" t="s">
        <v>305</v>
      </c>
      <c r="G15" s="71" t="s">
        <v>306</v>
      </c>
      <c r="H15" s="73"/>
      <c r="I15" s="73"/>
      <c r="J15" s="73"/>
      <c r="K15" s="73"/>
      <c r="L15" s="73"/>
      <c r="M15" s="73"/>
      <c r="N15" s="80"/>
      <c r="O15" s="80"/>
      <c r="P15" s="80"/>
      <c r="Q15" s="80"/>
      <c r="R15" s="71"/>
      <c r="S15" s="71"/>
      <c r="T15" s="80">
        <f t="shared" si="0"/>
        <v>0</v>
      </c>
      <c r="U15" s="80">
        <f t="shared" si="0"/>
        <v>0</v>
      </c>
      <c r="V15" s="80">
        <f t="shared" si="0"/>
        <v>0</v>
      </c>
      <c r="W15" s="80">
        <f t="shared" si="0"/>
        <v>0</v>
      </c>
      <c r="X15" s="80"/>
      <c r="Y15" s="80">
        <f t="shared" si="1"/>
        <v>0</v>
      </c>
      <c r="Z15" s="80">
        <f t="shared" si="2"/>
        <v>0</v>
      </c>
      <c r="AA15" s="80"/>
    </row>
    <row r="16" spans="1:27" x14ac:dyDescent="0.3">
      <c r="B16" s="72"/>
      <c r="D16" s="79">
        <v>14</v>
      </c>
      <c r="E16" s="71" t="s">
        <v>307</v>
      </c>
      <c r="G16" s="71" t="s">
        <v>308</v>
      </c>
      <c r="H16" s="73"/>
      <c r="I16" s="73"/>
      <c r="J16" s="73">
        <f>1*$D16</f>
        <v>14</v>
      </c>
      <c r="K16" s="73"/>
      <c r="L16" s="73"/>
      <c r="M16" s="73" t="s">
        <v>37</v>
      </c>
      <c r="N16" s="80"/>
      <c r="O16" s="80"/>
      <c r="P16" s="80"/>
      <c r="Q16" s="80"/>
      <c r="R16" s="71"/>
      <c r="S16" s="71"/>
      <c r="T16" s="80">
        <f t="shared" si="0"/>
        <v>0</v>
      </c>
      <c r="U16" s="80">
        <f t="shared" si="0"/>
        <v>0</v>
      </c>
      <c r="V16" s="80">
        <f t="shared" si="0"/>
        <v>0</v>
      </c>
      <c r="W16" s="80">
        <f t="shared" si="0"/>
        <v>0</v>
      </c>
      <c r="X16" s="80"/>
      <c r="Y16" s="80">
        <f t="shared" si="1"/>
        <v>14</v>
      </c>
      <c r="Z16" s="80">
        <f t="shared" si="2"/>
        <v>0</v>
      </c>
      <c r="AA16" s="80"/>
    </row>
    <row r="17" spans="2:27" x14ac:dyDescent="0.3">
      <c r="B17" s="72"/>
      <c r="D17" s="79">
        <v>14</v>
      </c>
      <c r="E17" s="71" t="s">
        <v>309</v>
      </c>
      <c r="G17" s="71" t="s">
        <v>310</v>
      </c>
      <c r="H17" s="73"/>
      <c r="I17" s="73"/>
      <c r="J17" s="73"/>
      <c r="K17" s="73">
        <f>1*$D17</f>
        <v>14</v>
      </c>
      <c r="L17" s="73"/>
      <c r="M17" s="73"/>
      <c r="N17" s="80"/>
      <c r="O17" s="80"/>
      <c r="P17" s="80"/>
      <c r="Q17" s="80"/>
      <c r="R17" s="71"/>
      <c r="S17" s="71"/>
      <c r="T17" s="80">
        <f t="shared" si="0"/>
        <v>0</v>
      </c>
      <c r="U17" s="80">
        <f t="shared" si="0"/>
        <v>0</v>
      </c>
      <c r="V17" s="80">
        <f t="shared" si="0"/>
        <v>0</v>
      </c>
      <c r="W17" s="80">
        <f t="shared" si="0"/>
        <v>0</v>
      </c>
      <c r="X17" s="80"/>
      <c r="Y17" s="80">
        <f t="shared" si="1"/>
        <v>0</v>
      </c>
      <c r="Z17" s="80">
        <f t="shared" si="2"/>
        <v>0</v>
      </c>
      <c r="AA17" s="80"/>
    </row>
    <row r="18" spans="2:27" x14ac:dyDescent="0.3">
      <c r="B18" s="72"/>
      <c r="D18" s="79">
        <v>14</v>
      </c>
      <c r="E18" s="71" t="s">
        <v>311</v>
      </c>
      <c r="F18" s="71" t="s">
        <v>312</v>
      </c>
      <c r="G18" s="71" t="s">
        <v>313</v>
      </c>
      <c r="H18" s="73"/>
      <c r="I18" s="73"/>
      <c r="J18" s="73"/>
      <c r="K18" s="73">
        <f>1*$D18</f>
        <v>14</v>
      </c>
      <c r="L18" s="73"/>
      <c r="M18" s="73"/>
      <c r="N18" s="80"/>
      <c r="O18" s="80"/>
      <c r="P18" s="80"/>
      <c r="Q18" s="80"/>
      <c r="R18" s="71"/>
      <c r="S18" s="71"/>
      <c r="T18" s="80">
        <f t="shared" si="0"/>
        <v>0</v>
      </c>
      <c r="U18" s="80">
        <f t="shared" si="0"/>
        <v>0</v>
      </c>
      <c r="V18" s="80">
        <f t="shared" si="0"/>
        <v>0</v>
      </c>
      <c r="W18" s="80">
        <f t="shared" si="0"/>
        <v>0</v>
      </c>
      <c r="X18" s="80"/>
      <c r="Y18" s="80">
        <f t="shared" si="1"/>
        <v>0</v>
      </c>
      <c r="Z18" s="80">
        <f t="shared" si="2"/>
        <v>0</v>
      </c>
      <c r="AA18" s="80"/>
    </row>
    <row r="19" spans="2:27" x14ac:dyDescent="0.3">
      <c r="B19" s="72"/>
      <c r="D19" s="79">
        <v>14</v>
      </c>
      <c r="E19" s="71" t="s">
        <v>314</v>
      </c>
      <c r="F19" s="71" t="s">
        <v>312</v>
      </c>
      <c r="G19" s="71" t="s">
        <v>313</v>
      </c>
      <c r="H19" s="73"/>
      <c r="I19" s="73"/>
      <c r="J19" s="73"/>
      <c r="K19" s="73" t="s">
        <v>315</v>
      </c>
      <c r="L19" s="73"/>
      <c r="M19" s="73"/>
      <c r="N19" s="80"/>
      <c r="O19" s="80"/>
      <c r="P19" s="80"/>
      <c r="Q19" s="80"/>
      <c r="R19" s="71"/>
      <c r="S19" s="71"/>
      <c r="T19" s="80">
        <f t="shared" si="0"/>
        <v>0</v>
      </c>
      <c r="U19" s="80">
        <f t="shared" si="0"/>
        <v>0</v>
      </c>
      <c r="V19" s="80">
        <f t="shared" si="0"/>
        <v>0</v>
      </c>
      <c r="W19" s="80">
        <f t="shared" si="0"/>
        <v>0</v>
      </c>
      <c r="X19" s="80"/>
      <c r="Y19" s="80">
        <f t="shared" si="1"/>
        <v>0</v>
      </c>
      <c r="Z19" s="80">
        <f t="shared" si="2"/>
        <v>0</v>
      </c>
      <c r="AA19" s="80"/>
    </row>
    <row r="20" spans="2:27" x14ac:dyDescent="0.3">
      <c r="B20" s="72"/>
      <c r="D20" s="79">
        <v>14</v>
      </c>
      <c r="E20" s="71" t="s">
        <v>316</v>
      </c>
      <c r="G20" s="71" t="s">
        <v>317</v>
      </c>
      <c r="H20" s="73"/>
      <c r="I20" s="73">
        <v>1</v>
      </c>
      <c r="J20" s="73"/>
      <c r="K20" s="73"/>
      <c r="L20" s="73"/>
      <c r="M20" s="73" t="s">
        <v>318</v>
      </c>
      <c r="N20" s="80"/>
      <c r="O20" s="80"/>
      <c r="P20" s="80"/>
      <c r="Q20" s="80"/>
      <c r="R20" s="71"/>
      <c r="S20" s="71"/>
      <c r="T20" s="80">
        <f t="shared" si="0"/>
        <v>0</v>
      </c>
      <c r="U20" s="80">
        <f t="shared" si="0"/>
        <v>1</v>
      </c>
      <c r="V20" s="80">
        <f t="shared" si="0"/>
        <v>0</v>
      </c>
      <c r="W20" s="80">
        <f t="shared" si="0"/>
        <v>0</v>
      </c>
      <c r="X20" s="80"/>
      <c r="Y20" s="80">
        <f t="shared" si="1"/>
        <v>0</v>
      </c>
      <c r="Z20" s="80">
        <f t="shared" si="2"/>
        <v>0</v>
      </c>
      <c r="AA20" s="80"/>
    </row>
    <row r="21" spans="2:27" x14ac:dyDescent="0.3">
      <c r="B21" s="72"/>
      <c r="D21" s="79">
        <v>14</v>
      </c>
      <c r="E21" s="71" t="s">
        <v>319</v>
      </c>
      <c r="G21" s="71" t="s">
        <v>320</v>
      </c>
      <c r="H21" s="73"/>
      <c r="I21" s="73"/>
      <c r="J21" s="73"/>
      <c r="K21" s="73"/>
      <c r="L21" s="73"/>
      <c r="M21" s="73"/>
      <c r="N21" s="80"/>
      <c r="O21" s="80"/>
      <c r="P21" s="80"/>
      <c r="Q21" s="80"/>
      <c r="R21" s="71"/>
      <c r="S21" s="71"/>
      <c r="T21" s="80">
        <f t="shared" si="0"/>
        <v>0</v>
      </c>
      <c r="U21" s="80">
        <f t="shared" si="0"/>
        <v>0</v>
      </c>
      <c r="V21" s="80">
        <f t="shared" si="0"/>
        <v>0</v>
      </c>
      <c r="W21" s="80">
        <f t="shared" si="0"/>
        <v>0</v>
      </c>
      <c r="X21" s="80"/>
      <c r="Y21" s="80">
        <f t="shared" si="1"/>
        <v>0</v>
      </c>
      <c r="Z21" s="80">
        <f t="shared" si="2"/>
        <v>0</v>
      </c>
      <c r="AA21" s="80"/>
    </row>
    <row r="22" spans="2:27" x14ac:dyDescent="0.3">
      <c r="B22" s="72"/>
      <c r="D22" s="79">
        <v>14</v>
      </c>
      <c r="E22" s="71" t="s">
        <v>321</v>
      </c>
      <c r="G22" s="71" t="s">
        <v>322</v>
      </c>
      <c r="H22" s="73"/>
      <c r="I22" s="73"/>
      <c r="J22" s="73"/>
      <c r="K22" s="73"/>
      <c r="L22" s="73"/>
      <c r="M22" s="73"/>
      <c r="N22" s="80"/>
      <c r="O22" s="80"/>
      <c r="P22" s="80"/>
      <c r="Q22" s="80"/>
      <c r="R22" s="71"/>
      <c r="S22" s="71"/>
      <c r="T22" s="80">
        <f t="shared" si="0"/>
        <v>0</v>
      </c>
      <c r="U22" s="80">
        <f t="shared" si="0"/>
        <v>0</v>
      </c>
      <c r="V22" s="80">
        <f t="shared" si="0"/>
        <v>0</v>
      </c>
      <c r="W22" s="80">
        <f t="shared" si="0"/>
        <v>0</v>
      </c>
      <c r="X22" s="80"/>
      <c r="Y22" s="80">
        <f t="shared" si="1"/>
        <v>0</v>
      </c>
      <c r="Z22" s="80">
        <f t="shared" si="2"/>
        <v>0</v>
      </c>
      <c r="AA22" s="80"/>
    </row>
    <row r="23" spans="2:27" x14ac:dyDescent="0.3">
      <c r="B23" s="72"/>
      <c r="D23" s="79">
        <v>11</v>
      </c>
      <c r="E23" s="71" t="s">
        <v>323</v>
      </c>
      <c r="G23" s="71" t="s">
        <v>324</v>
      </c>
      <c r="H23" s="73"/>
      <c r="I23" s="75">
        <f>2*$D23</f>
        <v>22</v>
      </c>
      <c r="J23" s="73"/>
      <c r="K23" s="73"/>
      <c r="L23" s="73"/>
      <c r="M23" s="73" t="s">
        <v>37</v>
      </c>
      <c r="N23" s="80"/>
      <c r="O23" s="80"/>
      <c r="P23" s="80"/>
      <c r="Q23" s="80"/>
      <c r="R23" s="71"/>
      <c r="S23" s="71"/>
      <c r="T23" s="80">
        <f t="shared" si="0"/>
        <v>0</v>
      </c>
      <c r="U23" s="80">
        <f t="shared" si="0"/>
        <v>0</v>
      </c>
      <c r="V23" s="80">
        <f t="shared" si="0"/>
        <v>0</v>
      </c>
      <c r="W23" s="80">
        <f t="shared" si="0"/>
        <v>0</v>
      </c>
      <c r="X23" s="80"/>
      <c r="Y23" s="80">
        <f>IF($M23="A",J23,)</f>
        <v>0</v>
      </c>
      <c r="Z23" s="80">
        <f>IF(IF($M23="A",H23+I23+K23,)-IF(G23="Relais-uitgangsmodule 2x zonwering Comforte CX RO2-2 GST18",1,)-IF(G23="Relais-uitgangsmodule 2x verlichting Comforte CX RO2-1L GST1",2,)&lt;0,0,IF($M23="A",H23+I23+K23,)-IF(G23="Relais-uitgangsmodule 2x zonwering Comforte CX RO2-2 GST18",1,)-IF(G23="Relais-uitgangsmodule 2x verlichting Comforte CX RO2-1L GST1",2,))</f>
        <v>21</v>
      </c>
      <c r="AA23" s="80"/>
    </row>
    <row r="24" spans="2:27" x14ac:dyDescent="0.3">
      <c r="B24" s="72"/>
      <c r="D24" s="79"/>
      <c r="H24" s="73"/>
      <c r="I24" s="73"/>
      <c r="J24" s="73"/>
      <c r="K24" s="73"/>
      <c r="L24" s="73"/>
      <c r="M24" s="73"/>
      <c r="N24" s="80"/>
      <c r="O24" s="73"/>
      <c r="P24" s="73"/>
      <c r="Q24" s="71"/>
      <c r="R24" s="71"/>
      <c r="S24" s="71"/>
      <c r="T24" s="80"/>
      <c r="U24" s="73"/>
      <c r="V24" s="73"/>
      <c r="X24" s="80"/>
      <c r="Y24" s="80"/>
      <c r="Z24" s="80"/>
      <c r="AA24" s="80"/>
    </row>
    <row r="25" spans="2:27" x14ac:dyDescent="0.3">
      <c r="B25" s="72"/>
      <c r="D25" s="134"/>
      <c r="E25" s="76" t="s">
        <v>325</v>
      </c>
      <c r="H25" s="73"/>
      <c r="I25" s="73"/>
      <c r="J25" s="73"/>
      <c r="K25" s="73"/>
      <c r="L25" s="73"/>
      <c r="M25" s="73"/>
      <c r="N25" s="80"/>
      <c r="O25" s="73"/>
      <c r="P25" s="73"/>
      <c r="Q25" s="71"/>
      <c r="R25" s="71"/>
      <c r="S25" s="71"/>
      <c r="T25" s="80"/>
      <c r="U25" s="73"/>
      <c r="V25" s="73"/>
      <c r="X25" s="80"/>
      <c r="Y25" s="80"/>
      <c r="Z25" s="80"/>
      <c r="AA25" s="80"/>
    </row>
    <row r="26" spans="2:27" x14ac:dyDescent="0.3">
      <c r="B26" s="72"/>
      <c r="D26" s="134"/>
      <c r="E26" s="76"/>
      <c r="H26" s="73"/>
      <c r="I26" s="73"/>
      <c r="J26" s="73"/>
      <c r="K26" s="73"/>
      <c r="L26" s="73"/>
      <c r="M26" s="73"/>
      <c r="N26" s="80"/>
      <c r="O26" s="73"/>
      <c r="P26" s="73"/>
      <c r="Q26" s="71"/>
      <c r="R26" s="71"/>
      <c r="S26" s="71"/>
      <c r="T26" s="80"/>
      <c r="U26" s="73"/>
      <c r="V26" s="73"/>
      <c r="X26" s="80"/>
      <c r="Y26" s="80"/>
      <c r="Z26" s="80"/>
      <c r="AA26" s="80"/>
    </row>
    <row r="27" spans="2:27" x14ac:dyDescent="0.3">
      <c r="B27" s="72"/>
      <c r="D27" s="135"/>
      <c r="E27" s="76" t="s">
        <v>326</v>
      </c>
      <c r="F27" s="136"/>
      <c r="H27" s="73"/>
      <c r="I27" s="73"/>
      <c r="J27" s="73"/>
      <c r="K27" s="73"/>
      <c r="L27" s="73"/>
      <c r="M27" s="73"/>
      <c r="N27" s="80"/>
      <c r="O27" s="73"/>
      <c r="P27" s="73"/>
      <c r="Q27" s="71"/>
      <c r="R27" s="71"/>
      <c r="S27" s="71"/>
      <c r="T27" s="80"/>
      <c r="U27" s="73"/>
      <c r="V27" s="73"/>
      <c r="X27" s="80"/>
      <c r="Y27" s="80"/>
      <c r="Z27" s="80"/>
      <c r="AA27" s="80"/>
    </row>
    <row r="28" spans="2:27" x14ac:dyDescent="0.3">
      <c r="B28" s="72"/>
      <c r="D28" s="79">
        <v>26</v>
      </c>
      <c r="E28" s="71" t="s">
        <v>303</v>
      </c>
      <c r="G28" s="71" t="s">
        <v>304</v>
      </c>
      <c r="H28" s="73"/>
      <c r="I28" s="73"/>
      <c r="J28" s="73"/>
      <c r="K28" s="73"/>
      <c r="L28" s="73"/>
      <c r="M28" s="73"/>
      <c r="N28" s="80"/>
      <c r="O28" s="80"/>
      <c r="P28" s="80"/>
      <c r="Q28" s="80"/>
      <c r="R28" s="71"/>
      <c r="S28" s="71"/>
      <c r="T28" s="80">
        <f t="shared" ref="T28:W36" si="3">IF($M28="R",H28,)</f>
        <v>0</v>
      </c>
      <c r="U28" s="80">
        <f t="shared" si="3"/>
        <v>0</v>
      </c>
      <c r="V28" s="80">
        <f t="shared" si="3"/>
        <v>0</v>
      </c>
      <c r="W28" s="80">
        <f t="shared" si="3"/>
        <v>0</v>
      </c>
      <c r="X28" s="80"/>
      <c r="Y28" s="80">
        <f t="shared" ref="Y28:Y35" si="4">IF($M28="A",J28,)</f>
        <v>0</v>
      </c>
      <c r="Z28" s="80">
        <f t="shared" ref="Z28:Z35" si="5">IF($M28="A",H28+I28+K28,)-IF(G28="Relais-uitgangsmodule 2x zonwering Comforte CX RO2-2 GST18",1,)-IF(G28="Relais-uitgangsmodule 2x verlichting Comforte CX RO2-1L GST1",2,)</f>
        <v>0</v>
      </c>
      <c r="AA28" s="80"/>
    </row>
    <row r="29" spans="2:27" x14ac:dyDescent="0.3">
      <c r="B29" s="72"/>
      <c r="D29" s="79">
        <v>26</v>
      </c>
      <c r="E29" s="71" t="s">
        <v>305</v>
      </c>
      <c r="G29" s="71" t="s">
        <v>306</v>
      </c>
      <c r="H29" s="73"/>
      <c r="I29" s="73"/>
      <c r="J29" s="73"/>
      <c r="K29" s="73"/>
      <c r="L29" s="73"/>
      <c r="M29" s="73"/>
      <c r="N29" s="80"/>
      <c r="O29" s="80"/>
      <c r="P29" s="80"/>
      <c r="Q29" s="80"/>
      <c r="R29" s="71"/>
      <c r="S29" s="71"/>
      <c r="T29" s="80">
        <f t="shared" si="3"/>
        <v>0</v>
      </c>
      <c r="U29" s="80">
        <f t="shared" si="3"/>
        <v>0</v>
      </c>
      <c r="V29" s="80">
        <f t="shared" si="3"/>
        <v>0</v>
      </c>
      <c r="W29" s="80">
        <f t="shared" si="3"/>
        <v>0</v>
      </c>
      <c r="X29" s="80"/>
      <c r="Y29" s="80">
        <f t="shared" si="4"/>
        <v>0</v>
      </c>
      <c r="Z29" s="80">
        <f t="shared" si="5"/>
        <v>0</v>
      </c>
      <c r="AA29" s="80"/>
    </row>
    <row r="30" spans="2:27" x14ac:dyDescent="0.3">
      <c r="B30" s="72"/>
      <c r="D30" s="79">
        <v>26</v>
      </c>
      <c r="E30" s="71" t="s">
        <v>307</v>
      </c>
      <c r="G30" s="71" t="s">
        <v>308</v>
      </c>
      <c r="H30" s="73"/>
      <c r="I30" s="73"/>
      <c r="J30" s="73">
        <f>1*$D30</f>
        <v>26</v>
      </c>
      <c r="K30" s="73"/>
      <c r="L30" s="73"/>
      <c r="M30" s="73" t="s">
        <v>37</v>
      </c>
      <c r="N30" s="80"/>
      <c r="O30" s="80"/>
      <c r="P30" s="80"/>
      <c r="Q30" s="80"/>
      <c r="R30" s="71"/>
      <c r="S30" s="71"/>
      <c r="T30" s="80">
        <f t="shared" si="3"/>
        <v>0</v>
      </c>
      <c r="U30" s="80">
        <f t="shared" si="3"/>
        <v>0</v>
      </c>
      <c r="V30" s="80">
        <f t="shared" si="3"/>
        <v>0</v>
      </c>
      <c r="W30" s="80">
        <f t="shared" si="3"/>
        <v>0</v>
      </c>
      <c r="X30" s="80"/>
      <c r="Y30" s="80">
        <f t="shared" si="4"/>
        <v>26</v>
      </c>
      <c r="Z30" s="80">
        <f t="shared" si="5"/>
        <v>0</v>
      </c>
      <c r="AA30" s="80"/>
    </row>
    <row r="31" spans="2:27" x14ac:dyDescent="0.3">
      <c r="B31" s="72"/>
      <c r="D31" s="79">
        <v>26</v>
      </c>
      <c r="E31" s="71" t="s">
        <v>309</v>
      </c>
      <c r="G31" s="71" t="s">
        <v>310</v>
      </c>
      <c r="H31" s="73"/>
      <c r="I31" s="73"/>
      <c r="J31" s="73"/>
      <c r="K31" s="73">
        <f>1*$D31</f>
        <v>26</v>
      </c>
      <c r="L31" s="73"/>
      <c r="M31" s="73"/>
      <c r="N31" s="80"/>
      <c r="O31" s="80"/>
      <c r="P31" s="80"/>
      <c r="Q31" s="80"/>
      <c r="R31" s="71"/>
      <c r="S31" s="71"/>
      <c r="T31" s="80">
        <f t="shared" si="3"/>
        <v>0</v>
      </c>
      <c r="U31" s="80">
        <f t="shared" si="3"/>
        <v>0</v>
      </c>
      <c r="V31" s="80">
        <f t="shared" si="3"/>
        <v>0</v>
      </c>
      <c r="W31" s="80">
        <f t="shared" si="3"/>
        <v>0</v>
      </c>
      <c r="X31" s="80"/>
      <c r="Y31" s="80">
        <f t="shared" si="4"/>
        <v>0</v>
      </c>
      <c r="Z31" s="80">
        <f t="shared" si="5"/>
        <v>0</v>
      </c>
      <c r="AA31" s="80"/>
    </row>
    <row r="32" spans="2:27" x14ac:dyDescent="0.3">
      <c r="B32" s="72"/>
      <c r="D32" s="79">
        <v>26</v>
      </c>
      <c r="E32" s="71" t="s">
        <v>327</v>
      </c>
      <c r="G32" s="71" t="s">
        <v>317</v>
      </c>
      <c r="H32" s="73"/>
      <c r="I32" s="75">
        <f>D32</f>
        <v>26</v>
      </c>
      <c r="J32" s="73"/>
      <c r="K32" s="73"/>
      <c r="L32" s="73"/>
      <c r="M32" s="73"/>
      <c r="N32" s="80"/>
      <c r="O32" s="80"/>
      <c r="P32" s="80"/>
      <c r="Q32" s="80"/>
      <c r="R32" s="71"/>
      <c r="S32" s="71"/>
      <c r="T32" s="80">
        <f t="shared" si="3"/>
        <v>0</v>
      </c>
      <c r="U32" s="80">
        <f t="shared" si="3"/>
        <v>0</v>
      </c>
      <c r="V32" s="80">
        <f t="shared" si="3"/>
        <v>0</v>
      </c>
      <c r="W32" s="80">
        <f t="shared" si="3"/>
        <v>0</v>
      </c>
      <c r="X32" s="80"/>
      <c r="Y32" s="80">
        <f t="shared" si="4"/>
        <v>0</v>
      </c>
      <c r="Z32" s="80">
        <f t="shared" si="5"/>
        <v>0</v>
      </c>
      <c r="AA32" s="80"/>
    </row>
    <row r="33" spans="2:27" x14ac:dyDescent="0.3">
      <c r="B33" s="72"/>
      <c r="D33" s="79">
        <v>26</v>
      </c>
      <c r="E33" s="71" t="s">
        <v>328</v>
      </c>
      <c r="G33" s="71" t="s">
        <v>317</v>
      </c>
      <c r="H33" s="73"/>
      <c r="I33" s="75">
        <f>D33</f>
        <v>26</v>
      </c>
      <c r="J33" s="73"/>
      <c r="K33" s="73"/>
      <c r="L33" s="73"/>
      <c r="M33" s="73"/>
      <c r="N33" s="80"/>
      <c r="O33" s="80"/>
      <c r="P33" s="80"/>
      <c r="Q33" s="80"/>
      <c r="R33" s="71"/>
      <c r="S33" s="71"/>
      <c r="T33" s="80">
        <f t="shared" si="3"/>
        <v>0</v>
      </c>
      <c r="U33" s="80">
        <f t="shared" si="3"/>
        <v>0</v>
      </c>
      <c r="V33" s="80">
        <f t="shared" si="3"/>
        <v>0</v>
      </c>
      <c r="W33" s="80">
        <f t="shared" si="3"/>
        <v>0</v>
      </c>
      <c r="X33" s="80"/>
      <c r="Y33" s="80">
        <f t="shared" si="4"/>
        <v>0</v>
      </c>
      <c r="Z33" s="80">
        <f t="shared" si="5"/>
        <v>0</v>
      </c>
      <c r="AA33" s="80"/>
    </row>
    <row r="34" spans="2:27" x14ac:dyDescent="0.3">
      <c r="B34" s="72"/>
      <c r="D34" s="79">
        <v>26</v>
      </c>
      <c r="E34" s="71" t="s">
        <v>319</v>
      </c>
      <c r="G34" s="71" t="s">
        <v>320</v>
      </c>
      <c r="H34" s="73"/>
      <c r="I34" s="73"/>
      <c r="J34" s="73"/>
      <c r="K34" s="73"/>
      <c r="L34" s="73"/>
      <c r="M34" s="73"/>
      <c r="N34" s="80"/>
      <c r="O34" s="80"/>
      <c r="P34" s="80"/>
      <c r="Q34" s="80"/>
      <c r="R34" s="71"/>
      <c r="S34" s="71"/>
      <c r="T34" s="80">
        <f t="shared" si="3"/>
        <v>0</v>
      </c>
      <c r="U34" s="80">
        <f t="shared" si="3"/>
        <v>0</v>
      </c>
      <c r="V34" s="80">
        <f t="shared" si="3"/>
        <v>0</v>
      </c>
      <c r="W34" s="80">
        <f t="shared" si="3"/>
        <v>0</v>
      </c>
      <c r="X34" s="80"/>
      <c r="Y34" s="80">
        <f t="shared" si="4"/>
        <v>0</v>
      </c>
      <c r="Z34" s="80">
        <f t="shared" si="5"/>
        <v>0</v>
      </c>
      <c r="AA34" s="80"/>
    </row>
    <row r="35" spans="2:27" x14ac:dyDescent="0.3">
      <c r="B35" s="72"/>
      <c r="D35" s="79">
        <v>26</v>
      </c>
      <c r="E35" s="71" t="s">
        <v>321</v>
      </c>
      <c r="G35" s="71" t="s">
        <v>322</v>
      </c>
      <c r="H35" s="73"/>
      <c r="I35" s="73"/>
      <c r="J35" s="73"/>
      <c r="K35" s="73"/>
      <c r="L35" s="73"/>
      <c r="M35" s="73"/>
      <c r="N35" s="80"/>
      <c r="O35" s="80"/>
      <c r="P35" s="80"/>
      <c r="Q35" s="80"/>
      <c r="R35" s="71"/>
      <c r="S35" s="71"/>
      <c r="T35" s="80">
        <f t="shared" si="3"/>
        <v>0</v>
      </c>
      <c r="U35" s="80">
        <f t="shared" si="3"/>
        <v>0</v>
      </c>
      <c r="V35" s="80">
        <f t="shared" si="3"/>
        <v>0</v>
      </c>
      <c r="W35" s="80">
        <f t="shared" si="3"/>
        <v>0</v>
      </c>
      <c r="X35" s="80"/>
      <c r="Y35" s="80">
        <f t="shared" si="4"/>
        <v>0</v>
      </c>
      <c r="Z35" s="80">
        <f t="shared" si="5"/>
        <v>0</v>
      </c>
      <c r="AA35" s="80"/>
    </row>
    <row r="36" spans="2:27" x14ac:dyDescent="0.3">
      <c r="B36" s="72"/>
      <c r="D36" s="79">
        <v>25</v>
      </c>
      <c r="E36" s="71" t="s">
        <v>323</v>
      </c>
      <c r="G36" s="71" t="s">
        <v>324</v>
      </c>
      <c r="H36" s="73"/>
      <c r="I36" s="75">
        <f>2*$D36</f>
        <v>50</v>
      </c>
      <c r="J36" s="73"/>
      <c r="K36" s="73"/>
      <c r="L36" s="73"/>
      <c r="M36" s="73" t="s">
        <v>37</v>
      </c>
      <c r="N36" s="80"/>
      <c r="O36" s="80"/>
      <c r="P36" s="80"/>
      <c r="Q36" s="80"/>
      <c r="R36" s="71"/>
      <c r="S36" s="71"/>
      <c r="T36" s="80">
        <f t="shared" si="3"/>
        <v>0</v>
      </c>
      <c r="U36" s="80">
        <f t="shared" si="3"/>
        <v>0</v>
      </c>
      <c r="V36" s="80">
        <f t="shared" si="3"/>
        <v>0</v>
      </c>
      <c r="W36" s="80">
        <f t="shared" si="3"/>
        <v>0</v>
      </c>
      <c r="X36" s="80"/>
      <c r="Y36" s="80">
        <f>IF($M36="A",J36,)</f>
        <v>0</v>
      </c>
      <c r="Z36" s="80">
        <f>IF(IF($M36="A",H36+I36+K36,)-IF(G36="Relais-uitgangsmodule 2x zonwering Comforte CX RO2-2 GST18",1,)-IF(G36="Relais-uitgangsmodule 2x verlichting Comforte CX RO2-1L GST1",2,)&lt;0,0,IF($M36="A",H36+I36+K36,)-IF(G36="Relais-uitgangsmodule 2x zonwering Comforte CX RO2-2 GST18",1,)-IF(G36="Relais-uitgangsmodule 2x verlichting Comforte CX RO2-1L GST1",2,))</f>
        <v>49</v>
      </c>
      <c r="AA36" s="80"/>
    </row>
    <row r="37" spans="2:27" x14ac:dyDescent="0.3">
      <c r="B37" s="72"/>
      <c r="D37" s="79"/>
      <c r="H37" s="73"/>
      <c r="I37" s="73"/>
      <c r="J37" s="73"/>
      <c r="K37" s="73"/>
      <c r="L37" s="73"/>
      <c r="M37" s="73"/>
      <c r="N37" s="80"/>
      <c r="O37" s="73"/>
      <c r="P37" s="73"/>
      <c r="Q37" s="71"/>
      <c r="R37" s="71"/>
      <c r="S37" s="71"/>
      <c r="T37" s="80"/>
      <c r="U37" s="73"/>
      <c r="V37" s="73"/>
      <c r="X37" s="80"/>
      <c r="Y37" s="80"/>
      <c r="Z37" s="80"/>
      <c r="AA37" s="80"/>
    </row>
    <row r="38" spans="2:27" x14ac:dyDescent="0.3">
      <c r="B38" s="72"/>
      <c r="D38" s="135"/>
      <c r="E38" s="76" t="s">
        <v>329</v>
      </c>
      <c r="F38" s="136"/>
      <c r="H38" s="73"/>
      <c r="I38" s="73"/>
      <c r="J38" s="73"/>
      <c r="K38" s="73"/>
      <c r="L38" s="73"/>
      <c r="M38" s="73"/>
      <c r="N38" s="80"/>
      <c r="O38" s="73"/>
      <c r="P38" s="73"/>
      <c r="Q38" s="71"/>
      <c r="R38" s="71"/>
      <c r="S38" s="71"/>
      <c r="T38" s="80"/>
      <c r="U38" s="73"/>
      <c r="V38" s="73"/>
      <c r="X38" s="80"/>
      <c r="Y38" s="80"/>
      <c r="Z38" s="80"/>
      <c r="AA38" s="80"/>
    </row>
    <row r="39" spans="2:27" x14ac:dyDescent="0.3">
      <c r="B39" s="72"/>
      <c r="D39" s="79">
        <v>8</v>
      </c>
      <c r="E39" s="71" t="s">
        <v>303</v>
      </c>
      <c r="G39" s="71" t="s">
        <v>304</v>
      </c>
      <c r="H39" s="73"/>
      <c r="I39" s="73"/>
      <c r="J39" s="73"/>
      <c r="K39" s="73"/>
      <c r="L39" s="73"/>
      <c r="M39" s="73"/>
      <c r="N39" s="80"/>
      <c r="O39" s="80"/>
      <c r="P39" s="80"/>
      <c r="Q39" s="80"/>
      <c r="R39" s="71"/>
      <c r="S39" s="71"/>
      <c r="T39" s="80">
        <f t="shared" ref="T39:W48" si="6">IF($M39="R",H39,)</f>
        <v>0</v>
      </c>
      <c r="U39" s="80">
        <f t="shared" si="6"/>
        <v>0</v>
      </c>
      <c r="V39" s="80">
        <f t="shared" si="6"/>
        <v>0</v>
      </c>
      <c r="W39" s="80">
        <f t="shared" si="6"/>
        <v>0</v>
      </c>
      <c r="X39" s="80"/>
      <c r="Y39" s="80">
        <f t="shared" ref="Y39:Y47" si="7">IF($M39="A",J39,)</f>
        <v>0</v>
      </c>
      <c r="Z39" s="80">
        <f t="shared" ref="Z39:Z47" si="8">IF($M39="A",H39+I39+K39,)-IF(G39="Relais-uitgangsmodule 2x zonwering Comforte CX RO2-2 GST18",1,)-IF(G39="Relais-uitgangsmodule 2x verlichting Comforte CX RO2-1L GST1",2,)</f>
        <v>0</v>
      </c>
      <c r="AA39" s="80"/>
    </row>
    <row r="40" spans="2:27" x14ac:dyDescent="0.3">
      <c r="B40" s="72"/>
      <c r="D40" s="79">
        <v>8</v>
      </c>
      <c r="E40" s="71" t="s">
        <v>305</v>
      </c>
      <c r="G40" s="71" t="s">
        <v>306</v>
      </c>
      <c r="H40" s="73"/>
      <c r="I40" s="73"/>
      <c r="J40" s="73"/>
      <c r="K40" s="73"/>
      <c r="L40" s="73"/>
      <c r="M40" s="73"/>
      <c r="N40" s="80"/>
      <c r="O40" s="80"/>
      <c r="P40" s="80"/>
      <c r="Q40" s="80"/>
      <c r="R40" s="71"/>
      <c r="S40" s="71"/>
      <c r="T40" s="80">
        <f t="shared" si="6"/>
        <v>0</v>
      </c>
      <c r="U40" s="80">
        <f t="shared" si="6"/>
        <v>0</v>
      </c>
      <c r="V40" s="80">
        <f t="shared" si="6"/>
        <v>0</v>
      </c>
      <c r="W40" s="80">
        <f t="shared" si="6"/>
        <v>0</v>
      </c>
      <c r="X40" s="80"/>
      <c r="Y40" s="80">
        <f t="shared" si="7"/>
        <v>0</v>
      </c>
      <c r="Z40" s="80">
        <f t="shared" si="8"/>
        <v>0</v>
      </c>
      <c r="AA40" s="80"/>
    </row>
    <row r="41" spans="2:27" x14ac:dyDescent="0.3">
      <c r="B41" s="72"/>
      <c r="D41" s="79">
        <v>8</v>
      </c>
      <c r="E41" s="71" t="s">
        <v>307</v>
      </c>
      <c r="G41" s="71" t="s">
        <v>308</v>
      </c>
      <c r="H41" s="73"/>
      <c r="I41" s="73"/>
      <c r="J41" s="73">
        <f>1*$D41</f>
        <v>8</v>
      </c>
      <c r="K41" s="73"/>
      <c r="L41" s="73"/>
      <c r="M41" s="73" t="s">
        <v>37</v>
      </c>
      <c r="N41" s="80"/>
      <c r="O41" s="80"/>
      <c r="P41" s="80"/>
      <c r="Q41" s="80"/>
      <c r="R41" s="71"/>
      <c r="S41" s="71"/>
      <c r="T41" s="80">
        <f t="shared" si="6"/>
        <v>0</v>
      </c>
      <c r="U41" s="80">
        <f t="shared" si="6"/>
        <v>0</v>
      </c>
      <c r="V41" s="80">
        <f t="shared" si="6"/>
        <v>0</v>
      </c>
      <c r="W41" s="80">
        <f t="shared" si="6"/>
        <v>0</v>
      </c>
      <c r="X41" s="80"/>
      <c r="Y41" s="80">
        <f t="shared" si="7"/>
        <v>8</v>
      </c>
      <c r="Z41" s="80">
        <f t="shared" si="8"/>
        <v>0</v>
      </c>
      <c r="AA41" s="80"/>
    </row>
    <row r="42" spans="2:27" x14ac:dyDescent="0.3">
      <c r="B42" s="72"/>
      <c r="D42" s="79">
        <v>8</v>
      </c>
      <c r="E42" s="71" t="s">
        <v>309</v>
      </c>
      <c r="G42" s="71" t="s">
        <v>310</v>
      </c>
      <c r="H42" s="73"/>
      <c r="I42" s="73"/>
      <c r="J42" s="73"/>
      <c r="K42" s="73">
        <f>1*$D42</f>
        <v>8</v>
      </c>
      <c r="L42" s="73"/>
      <c r="M42" s="73"/>
      <c r="N42" s="80"/>
      <c r="O42" s="80"/>
      <c r="P42" s="80"/>
      <c r="Q42" s="80"/>
      <c r="R42" s="71"/>
      <c r="S42" s="71"/>
      <c r="T42" s="80">
        <f t="shared" si="6"/>
        <v>0</v>
      </c>
      <c r="U42" s="80">
        <f t="shared" si="6"/>
        <v>0</v>
      </c>
      <c r="V42" s="80">
        <f t="shared" si="6"/>
        <v>0</v>
      </c>
      <c r="W42" s="80">
        <f t="shared" si="6"/>
        <v>0</v>
      </c>
      <c r="X42" s="80"/>
      <c r="Y42" s="80">
        <f t="shared" si="7"/>
        <v>0</v>
      </c>
      <c r="Z42" s="80">
        <f t="shared" si="8"/>
        <v>0</v>
      </c>
      <c r="AA42" s="80"/>
    </row>
    <row r="43" spans="2:27" x14ac:dyDescent="0.3">
      <c r="B43" s="72"/>
      <c r="D43" s="79">
        <v>8</v>
      </c>
      <c r="E43" s="71" t="s">
        <v>311</v>
      </c>
      <c r="F43" s="71" t="s">
        <v>312</v>
      </c>
      <c r="G43" s="71" t="s">
        <v>313</v>
      </c>
      <c r="H43" s="73"/>
      <c r="I43" s="73"/>
      <c r="J43" s="73"/>
      <c r="K43" s="73">
        <f>1*$D43</f>
        <v>8</v>
      </c>
      <c r="L43" s="73"/>
      <c r="M43" s="73"/>
      <c r="N43" s="80"/>
      <c r="O43" s="80"/>
      <c r="P43" s="80"/>
      <c r="Q43" s="80"/>
      <c r="R43" s="71"/>
      <c r="S43" s="71"/>
      <c r="T43" s="80">
        <f t="shared" si="6"/>
        <v>0</v>
      </c>
      <c r="U43" s="80">
        <f t="shared" si="6"/>
        <v>0</v>
      </c>
      <c r="V43" s="80">
        <f t="shared" si="6"/>
        <v>0</v>
      </c>
      <c r="W43" s="80">
        <f t="shared" si="6"/>
        <v>0</v>
      </c>
      <c r="X43" s="80"/>
      <c r="Y43" s="80">
        <f t="shared" si="7"/>
        <v>0</v>
      </c>
      <c r="Z43" s="80">
        <f t="shared" si="8"/>
        <v>0</v>
      </c>
      <c r="AA43" s="80"/>
    </row>
    <row r="44" spans="2:27" x14ac:dyDescent="0.3">
      <c r="B44" s="72"/>
      <c r="D44" s="79">
        <v>8</v>
      </c>
      <c r="E44" s="71" t="s">
        <v>314</v>
      </c>
      <c r="F44" s="71" t="s">
        <v>312</v>
      </c>
      <c r="G44" s="71" t="s">
        <v>313</v>
      </c>
      <c r="H44" s="73"/>
      <c r="I44" s="73"/>
      <c r="J44" s="73"/>
      <c r="K44" s="73" t="s">
        <v>315</v>
      </c>
      <c r="L44" s="73"/>
      <c r="M44" s="73"/>
      <c r="N44" s="80"/>
      <c r="O44" s="80"/>
      <c r="P44" s="80"/>
      <c r="Q44" s="80"/>
      <c r="R44" s="71"/>
      <c r="S44" s="71"/>
      <c r="T44" s="80">
        <f t="shared" si="6"/>
        <v>0</v>
      </c>
      <c r="U44" s="80">
        <f t="shared" si="6"/>
        <v>0</v>
      </c>
      <c r="V44" s="80">
        <f t="shared" si="6"/>
        <v>0</v>
      </c>
      <c r="W44" s="80">
        <f t="shared" si="6"/>
        <v>0</v>
      </c>
      <c r="X44" s="80"/>
      <c r="Y44" s="80">
        <f t="shared" si="7"/>
        <v>0</v>
      </c>
      <c r="Z44" s="80">
        <f t="shared" si="8"/>
        <v>0</v>
      </c>
      <c r="AA44" s="80"/>
    </row>
    <row r="45" spans="2:27" x14ac:dyDescent="0.3">
      <c r="B45" s="72"/>
      <c r="D45" s="79">
        <v>8</v>
      </c>
      <c r="E45" s="71" t="s">
        <v>316</v>
      </c>
      <c r="G45" s="71" t="s">
        <v>317</v>
      </c>
      <c r="H45" s="73"/>
      <c r="I45" s="75">
        <f>D45</f>
        <v>8</v>
      </c>
      <c r="J45" s="73"/>
      <c r="K45" s="73"/>
      <c r="L45" s="73"/>
      <c r="M45" s="73" t="s">
        <v>318</v>
      </c>
      <c r="N45" s="80"/>
      <c r="O45" s="80"/>
      <c r="P45" s="80"/>
      <c r="Q45" s="80"/>
      <c r="R45" s="71"/>
      <c r="S45" s="71"/>
      <c r="T45" s="80">
        <f t="shared" si="6"/>
        <v>0</v>
      </c>
      <c r="U45" s="80">
        <f t="shared" si="6"/>
        <v>8</v>
      </c>
      <c r="V45" s="80">
        <f t="shared" si="6"/>
        <v>0</v>
      </c>
      <c r="W45" s="80">
        <f t="shared" si="6"/>
        <v>0</v>
      </c>
      <c r="X45" s="80"/>
      <c r="Y45" s="80">
        <f t="shared" si="7"/>
        <v>0</v>
      </c>
      <c r="Z45" s="80">
        <f t="shared" si="8"/>
        <v>0</v>
      </c>
      <c r="AA45" s="80"/>
    </row>
    <row r="46" spans="2:27" x14ac:dyDescent="0.3">
      <c r="B46" s="72"/>
      <c r="D46" s="79">
        <v>8</v>
      </c>
      <c r="E46" s="71" t="s">
        <v>319</v>
      </c>
      <c r="G46" s="71" t="s">
        <v>320</v>
      </c>
      <c r="H46" s="73"/>
      <c r="I46" s="73"/>
      <c r="J46" s="73"/>
      <c r="K46" s="73"/>
      <c r="L46" s="73"/>
      <c r="M46" s="73"/>
      <c r="N46" s="80"/>
      <c r="O46" s="80"/>
      <c r="P46" s="80"/>
      <c r="Q46" s="80"/>
      <c r="R46" s="71"/>
      <c r="S46" s="71"/>
      <c r="T46" s="80">
        <f t="shared" si="6"/>
        <v>0</v>
      </c>
      <c r="U46" s="80">
        <f t="shared" si="6"/>
        <v>0</v>
      </c>
      <c r="V46" s="80">
        <f t="shared" si="6"/>
        <v>0</v>
      </c>
      <c r="W46" s="80">
        <f t="shared" si="6"/>
        <v>0</v>
      </c>
      <c r="X46" s="80"/>
      <c r="Y46" s="80">
        <f t="shared" si="7"/>
        <v>0</v>
      </c>
      <c r="Z46" s="80">
        <f t="shared" si="8"/>
        <v>0</v>
      </c>
      <c r="AA46" s="80"/>
    </row>
    <row r="47" spans="2:27" x14ac:dyDescent="0.3">
      <c r="B47" s="72"/>
      <c r="D47" s="79">
        <v>8</v>
      </c>
      <c r="E47" s="71" t="s">
        <v>321</v>
      </c>
      <c r="G47" s="71" t="s">
        <v>322</v>
      </c>
      <c r="H47" s="73"/>
      <c r="I47" s="73"/>
      <c r="J47" s="73"/>
      <c r="K47" s="73"/>
      <c r="L47" s="73"/>
      <c r="M47" s="73"/>
      <c r="N47" s="80"/>
      <c r="O47" s="80"/>
      <c r="P47" s="80"/>
      <c r="Q47" s="80"/>
      <c r="R47" s="71"/>
      <c r="S47" s="71"/>
      <c r="T47" s="80">
        <f t="shared" si="6"/>
        <v>0</v>
      </c>
      <c r="U47" s="80">
        <f t="shared" si="6"/>
        <v>0</v>
      </c>
      <c r="V47" s="80">
        <f t="shared" si="6"/>
        <v>0</v>
      </c>
      <c r="W47" s="80">
        <f t="shared" si="6"/>
        <v>0</v>
      </c>
      <c r="X47" s="80"/>
      <c r="Y47" s="80">
        <f t="shared" si="7"/>
        <v>0</v>
      </c>
      <c r="Z47" s="80">
        <f t="shared" si="8"/>
        <v>0</v>
      </c>
      <c r="AA47" s="80"/>
    </row>
    <row r="48" spans="2:27" x14ac:dyDescent="0.3">
      <c r="B48" s="72"/>
      <c r="D48" s="79">
        <v>8</v>
      </c>
      <c r="E48" s="71" t="s">
        <v>323</v>
      </c>
      <c r="G48" s="71" t="s">
        <v>324</v>
      </c>
      <c r="H48" s="73"/>
      <c r="I48" s="75">
        <f>2*$D48</f>
        <v>16</v>
      </c>
      <c r="J48" s="73"/>
      <c r="K48" s="73"/>
      <c r="L48" s="73"/>
      <c r="M48" s="73" t="s">
        <v>37</v>
      </c>
      <c r="N48" s="80"/>
      <c r="O48" s="80"/>
      <c r="P48" s="80"/>
      <c r="Q48" s="80"/>
      <c r="R48" s="71"/>
      <c r="S48" s="71"/>
      <c r="T48" s="80">
        <f t="shared" si="6"/>
        <v>0</v>
      </c>
      <c r="U48" s="80">
        <f t="shared" si="6"/>
        <v>0</v>
      </c>
      <c r="V48" s="80">
        <f t="shared" si="6"/>
        <v>0</v>
      </c>
      <c r="W48" s="80">
        <f t="shared" si="6"/>
        <v>0</v>
      </c>
      <c r="X48" s="80"/>
      <c r="Y48" s="80">
        <f>IF($M48="A",J48,)</f>
        <v>0</v>
      </c>
      <c r="Z48" s="80">
        <f>IF(IF($M48="A",H48+I48+K48,)-IF(G48="Relais-uitgangsmodule 2x zonwering Comforte CX RO2-2 GST18",1,)-IF(G48="Relais-uitgangsmodule 2x verlichting Comforte CX RO2-1L GST1",2,)&lt;0,0,IF($M48="A",H48+I48+K48,)-IF(G48="Relais-uitgangsmodule 2x zonwering Comforte CX RO2-2 GST18",1,)-IF(G48="Relais-uitgangsmodule 2x verlichting Comforte CX RO2-1L GST1",2,))</f>
        <v>15</v>
      </c>
      <c r="AA48" s="80"/>
    </row>
    <row r="49" spans="2:27" x14ac:dyDescent="0.3">
      <c r="B49" s="72"/>
      <c r="D49" s="79"/>
      <c r="H49" s="73"/>
      <c r="I49" s="73"/>
      <c r="J49" s="73"/>
      <c r="K49" s="73"/>
      <c r="L49" s="73"/>
      <c r="M49" s="73"/>
      <c r="N49" s="80"/>
      <c r="O49" s="73"/>
      <c r="P49" s="73"/>
      <c r="Q49" s="71"/>
      <c r="R49" s="71"/>
      <c r="S49" s="71"/>
      <c r="T49" s="80"/>
      <c r="U49" s="73"/>
      <c r="V49" s="73"/>
      <c r="X49" s="80"/>
      <c r="Y49" s="80"/>
      <c r="Z49" s="80"/>
      <c r="AA49" s="80"/>
    </row>
    <row r="50" spans="2:27" x14ac:dyDescent="0.3">
      <c r="B50" s="72"/>
      <c r="D50" s="134"/>
      <c r="E50" s="76" t="s">
        <v>330</v>
      </c>
      <c r="H50" s="73"/>
      <c r="I50" s="73"/>
      <c r="J50" s="73"/>
      <c r="K50" s="73"/>
      <c r="L50" s="73"/>
      <c r="M50" s="73"/>
      <c r="N50" s="80"/>
      <c r="O50" s="73"/>
      <c r="P50" s="73"/>
      <c r="Q50" s="71"/>
      <c r="R50" s="71"/>
      <c r="S50" s="71"/>
      <c r="T50" s="80"/>
      <c r="U50" s="73"/>
      <c r="V50" s="73"/>
      <c r="X50" s="80"/>
      <c r="Y50" s="80"/>
      <c r="Z50" s="80"/>
      <c r="AA50" s="80"/>
    </row>
    <row r="51" spans="2:27" x14ac:dyDescent="0.3">
      <c r="B51" s="72"/>
      <c r="D51" s="134"/>
      <c r="E51" s="76"/>
      <c r="H51" s="73"/>
      <c r="I51" s="73"/>
      <c r="J51" s="73"/>
      <c r="K51" s="73"/>
      <c r="L51" s="73"/>
      <c r="M51" s="73"/>
      <c r="N51" s="80"/>
      <c r="O51" s="73"/>
      <c r="P51" s="73"/>
      <c r="Q51" s="71"/>
      <c r="R51" s="71"/>
      <c r="S51" s="71"/>
      <c r="T51" s="80"/>
      <c r="U51" s="73"/>
      <c r="V51" s="73"/>
      <c r="X51" s="80"/>
      <c r="Y51" s="80"/>
      <c r="Z51" s="80"/>
      <c r="AA51" s="80"/>
    </row>
    <row r="52" spans="2:27" x14ac:dyDescent="0.3">
      <c r="B52" s="72"/>
      <c r="D52" s="135"/>
      <c r="E52" s="76" t="s">
        <v>326</v>
      </c>
      <c r="F52" s="136"/>
      <c r="H52" s="73"/>
      <c r="I52" s="73"/>
      <c r="J52" s="73"/>
      <c r="K52" s="73"/>
      <c r="L52" s="73"/>
      <c r="M52" s="73"/>
      <c r="N52" s="80"/>
      <c r="O52" s="73"/>
      <c r="P52" s="73"/>
      <c r="Q52" s="71"/>
      <c r="R52" s="71"/>
      <c r="S52" s="71"/>
      <c r="T52" s="80"/>
      <c r="U52" s="73"/>
      <c r="V52" s="73"/>
      <c r="X52" s="80"/>
      <c r="Y52" s="80"/>
      <c r="Z52" s="80"/>
      <c r="AA52" s="80"/>
    </row>
    <row r="53" spans="2:27" x14ac:dyDescent="0.3">
      <c r="B53" s="72"/>
      <c r="D53" s="79">
        <v>26</v>
      </c>
      <c r="E53" s="71" t="s">
        <v>303</v>
      </c>
      <c r="G53" s="71" t="s">
        <v>304</v>
      </c>
      <c r="H53" s="73"/>
      <c r="I53" s="73"/>
      <c r="J53" s="73"/>
      <c r="K53" s="73"/>
      <c r="L53" s="73"/>
      <c r="M53" s="73"/>
      <c r="N53" s="80"/>
      <c r="O53" s="80"/>
      <c r="P53" s="80"/>
      <c r="Q53" s="80"/>
      <c r="R53" s="71"/>
      <c r="S53" s="71"/>
      <c r="T53" s="80">
        <f t="shared" ref="T53:W61" si="9">IF($M53="R",H53,)</f>
        <v>0</v>
      </c>
      <c r="U53" s="80">
        <f t="shared" si="9"/>
        <v>0</v>
      </c>
      <c r="V53" s="80">
        <f t="shared" si="9"/>
        <v>0</v>
      </c>
      <c r="W53" s="80">
        <f t="shared" si="9"/>
        <v>0</v>
      </c>
      <c r="X53" s="80"/>
      <c r="Y53" s="80">
        <f t="shared" ref="Y53:Y60" si="10">IF($M53="A",J53,)</f>
        <v>0</v>
      </c>
      <c r="Z53" s="80">
        <f t="shared" ref="Z53:Z60" si="11">IF($M53="A",H53+I53+K53,)-IF(G53="Relais-uitgangsmodule 2x zonwering Comforte CX RO2-2 GST18",1,)-IF(G53="Relais-uitgangsmodule 2x verlichting Comforte CX RO2-1L GST1",2,)</f>
        <v>0</v>
      </c>
      <c r="AA53" s="80"/>
    </row>
    <row r="54" spans="2:27" x14ac:dyDescent="0.3">
      <c r="B54" s="72"/>
      <c r="D54" s="79">
        <v>26</v>
      </c>
      <c r="E54" s="71" t="s">
        <v>305</v>
      </c>
      <c r="G54" s="71" t="s">
        <v>306</v>
      </c>
      <c r="H54" s="73"/>
      <c r="I54" s="73"/>
      <c r="J54" s="73"/>
      <c r="K54" s="73"/>
      <c r="L54" s="73"/>
      <c r="M54" s="73"/>
      <c r="N54" s="80"/>
      <c r="O54" s="80"/>
      <c r="P54" s="80"/>
      <c r="Q54" s="80"/>
      <c r="R54" s="71"/>
      <c r="S54" s="71"/>
      <c r="T54" s="80">
        <f t="shared" si="9"/>
        <v>0</v>
      </c>
      <c r="U54" s="80">
        <f t="shared" si="9"/>
        <v>0</v>
      </c>
      <c r="V54" s="80">
        <f t="shared" si="9"/>
        <v>0</v>
      </c>
      <c r="W54" s="80">
        <f t="shared" si="9"/>
        <v>0</v>
      </c>
      <c r="X54" s="80"/>
      <c r="Y54" s="80">
        <f t="shared" si="10"/>
        <v>0</v>
      </c>
      <c r="Z54" s="80">
        <f t="shared" si="11"/>
        <v>0</v>
      </c>
      <c r="AA54" s="80"/>
    </row>
    <row r="55" spans="2:27" x14ac:dyDescent="0.3">
      <c r="B55" s="72"/>
      <c r="D55" s="79">
        <v>26</v>
      </c>
      <c r="E55" s="71" t="s">
        <v>307</v>
      </c>
      <c r="G55" s="71" t="s">
        <v>308</v>
      </c>
      <c r="H55" s="73"/>
      <c r="I55" s="73"/>
      <c r="J55" s="73">
        <f>1*$D55</f>
        <v>26</v>
      </c>
      <c r="K55" s="73"/>
      <c r="L55" s="73"/>
      <c r="M55" s="73" t="s">
        <v>37</v>
      </c>
      <c r="N55" s="80"/>
      <c r="O55" s="80"/>
      <c r="P55" s="80"/>
      <c r="Q55" s="80"/>
      <c r="R55" s="71"/>
      <c r="S55" s="71"/>
      <c r="T55" s="80">
        <f t="shared" si="9"/>
        <v>0</v>
      </c>
      <c r="U55" s="80">
        <f t="shared" si="9"/>
        <v>0</v>
      </c>
      <c r="V55" s="80">
        <f t="shared" si="9"/>
        <v>0</v>
      </c>
      <c r="W55" s="80">
        <f t="shared" si="9"/>
        <v>0</v>
      </c>
      <c r="X55" s="80"/>
      <c r="Y55" s="80">
        <f t="shared" si="10"/>
        <v>26</v>
      </c>
      <c r="Z55" s="80">
        <f t="shared" si="11"/>
        <v>0</v>
      </c>
      <c r="AA55" s="80"/>
    </row>
    <row r="56" spans="2:27" x14ac:dyDescent="0.3">
      <c r="B56" s="72"/>
      <c r="D56" s="79">
        <v>26</v>
      </c>
      <c r="E56" s="71" t="s">
        <v>309</v>
      </c>
      <c r="G56" s="71" t="s">
        <v>310</v>
      </c>
      <c r="H56" s="73"/>
      <c r="I56" s="73"/>
      <c r="J56" s="73"/>
      <c r="K56" s="73">
        <f>1*$D56</f>
        <v>26</v>
      </c>
      <c r="L56" s="73"/>
      <c r="M56" s="73"/>
      <c r="N56" s="80"/>
      <c r="O56" s="80"/>
      <c r="P56" s="80"/>
      <c r="Q56" s="80"/>
      <c r="R56" s="71"/>
      <c r="S56" s="71"/>
      <c r="T56" s="80">
        <f t="shared" si="9"/>
        <v>0</v>
      </c>
      <c r="U56" s="80">
        <f t="shared" si="9"/>
        <v>0</v>
      </c>
      <c r="V56" s="80">
        <f t="shared" si="9"/>
        <v>0</v>
      </c>
      <c r="W56" s="80">
        <f t="shared" si="9"/>
        <v>0</v>
      </c>
      <c r="X56" s="80"/>
      <c r="Y56" s="80">
        <f t="shared" si="10"/>
        <v>0</v>
      </c>
      <c r="Z56" s="80">
        <f t="shared" si="11"/>
        <v>0</v>
      </c>
      <c r="AA56" s="80"/>
    </row>
    <row r="57" spans="2:27" x14ac:dyDescent="0.3">
      <c r="B57" s="72"/>
      <c r="D57" s="79">
        <v>26</v>
      </c>
      <c r="E57" s="71" t="s">
        <v>327</v>
      </c>
      <c r="G57" s="71" t="s">
        <v>317</v>
      </c>
      <c r="H57" s="73"/>
      <c r="I57" s="75">
        <f>D57</f>
        <v>26</v>
      </c>
      <c r="J57" s="73"/>
      <c r="K57" s="73"/>
      <c r="L57" s="73"/>
      <c r="M57" s="73"/>
      <c r="N57" s="80"/>
      <c r="O57" s="80"/>
      <c r="P57" s="80"/>
      <c r="Q57" s="80"/>
      <c r="R57" s="71"/>
      <c r="S57" s="71"/>
      <c r="T57" s="80">
        <f t="shared" si="9"/>
        <v>0</v>
      </c>
      <c r="U57" s="80">
        <f t="shared" si="9"/>
        <v>0</v>
      </c>
      <c r="V57" s="80">
        <f t="shared" si="9"/>
        <v>0</v>
      </c>
      <c r="W57" s="80">
        <f t="shared" si="9"/>
        <v>0</v>
      </c>
      <c r="X57" s="80"/>
      <c r="Y57" s="80">
        <f t="shared" si="10"/>
        <v>0</v>
      </c>
      <c r="Z57" s="80">
        <f t="shared" si="11"/>
        <v>0</v>
      </c>
      <c r="AA57" s="80"/>
    </row>
    <row r="58" spans="2:27" x14ac:dyDescent="0.3">
      <c r="B58" s="72"/>
      <c r="D58" s="79">
        <v>26</v>
      </c>
      <c r="E58" s="71" t="s">
        <v>328</v>
      </c>
      <c r="G58" s="71" t="s">
        <v>317</v>
      </c>
      <c r="H58" s="73"/>
      <c r="I58" s="75">
        <f>D58</f>
        <v>26</v>
      </c>
      <c r="J58" s="73"/>
      <c r="K58" s="73"/>
      <c r="L58" s="73"/>
      <c r="M58" s="73"/>
      <c r="N58" s="80"/>
      <c r="O58" s="80"/>
      <c r="P58" s="80"/>
      <c r="Q58" s="80"/>
      <c r="R58" s="71"/>
      <c r="S58" s="71"/>
      <c r="T58" s="80">
        <f t="shared" si="9"/>
        <v>0</v>
      </c>
      <c r="U58" s="80">
        <f t="shared" si="9"/>
        <v>0</v>
      </c>
      <c r="V58" s="80">
        <f t="shared" si="9"/>
        <v>0</v>
      </c>
      <c r="W58" s="80">
        <f t="shared" si="9"/>
        <v>0</v>
      </c>
      <c r="X58" s="80"/>
      <c r="Y58" s="80">
        <f t="shared" si="10"/>
        <v>0</v>
      </c>
      <c r="Z58" s="80">
        <f t="shared" si="11"/>
        <v>0</v>
      </c>
      <c r="AA58" s="80"/>
    </row>
    <row r="59" spans="2:27" x14ac:dyDescent="0.3">
      <c r="B59" s="72"/>
      <c r="D59" s="79">
        <v>26</v>
      </c>
      <c r="E59" s="71" t="s">
        <v>319</v>
      </c>
      <c r="G59" s="71" t="s">
        <v>320</v>
      </c>
      <c r="H59" s="73"/>
      <c r="I59" s="73"/>
      <c r="J59" s="73"/>
      <c r="K59" s="73"/>
      <c r="L59" s="73"/>
      <c r="M59" s="73"/>
      <c r="N59" s="80"/>
      <c r="O59" s="80"/>
      <c r="P59" s="80"/>
      <c r="Q59" s="80"/>
      <c r="R59" s="71"/>
      <c r="S59" s="71"/>
      <c r="T59" s="80">
        <f t="shared" si="9"/>
        <v>0</v>
      </c>
      <c r="U59" s="80">
        <f t="shared" si="9"/>
        <v>0</v>
      </c>
      <c r="V59" s="80">
        <f t="shared" si="9"/>
        <v>0</v>
      </c>
      <c r="W59" s="80">
        <f t="shared" si="9"/>
        <v>0</v>
      </c>
      <c r="X59" s="80"/>
      <c r="Y59" s="80">
        <f t="shared" si="10"/>
        <v>0</v>
      </c>
      <c r="Z59" s="80">
        <f t="shared" si="11"/>
        <v>0</v>
      </c>
      <c r="AA59" s="80"/>
    </row>
    <row r="60" spans="2:27" x14ac:dyDescent="0.3">
      <c r="B60" s="72"/>
      <c r="D60" s="79">
        <v>26</v>
      </c>
      <c r="E60" s="71" t="s">
        <v>321</v>
      </c>
      <c r="G60" s="71" t="s">
        <v>322</v>
      </c>
      <c r="H60" s="73"/>
      <c r="I60" s="73"/>
      <c r="J60" s="73"/>
      <c r="K60" s="73"/>
      <c r="L60" s="73"/>
      <c r="M60" s="73"/>
      <c r="N60" s="80"/>
      <c r="O60" s="80"/>
      <c r="P60" s="80"/>
      <c r="Q60" s="80"/>
      <c r="R60" s="71"/>
      <c r="S60" s="71"/>
      <c r="T60" s="80">
        <f t="shared" si="9"/>
        <v>0</v>
      </c>
      <c r="U60" s="80">
        <f t="shared" si="9"/>
        <v>0</v>
      </c>
      <c r="V60" s="80">
        <f t="shared" si="9"/>
        <v>0</v>
      </c>
      <c r="W60" s="80">
        <f t="shared" si="9"/>
        <v>0</v>
      </c>
      <c r="X60" s="80"/>
      <c r="Y60" s="80">
        <f t="shared" si="10"/>
        <v>0</v>
      </c>
      <c r="Z60" s="80">
        <f t="shared" si="11"/>
        <v>0</v>
      </c>
      <c r="AA60" s="80"/>
    </row>
    <row r="61" spans="2:27" x14ac:dyDescent="0.3">
      <c r="B61" s="72"/>
      <c r="D61" s="79">
        <v>25</v>
      </c>
      <c r="E61" s="71" t="s">
        <v>323</v>
      </c>
      <c r="G61" s="71" t="s">
        <v>324</v>
      </c>
      <c r="H61" s="73"/>
      <c r="I61" s="75">
        <f>2*$D61</f>
        <v>50</v>
      </c>
      <c r="J61" s="73"/>
      <c r="K61" s="73"/>
      <c r="L61" s="73"/>
      <c r="M61" s="73" t="s">
        <v>37</v>
      </c>
      <c r="N61" s="80"/>
      <c r="O61" s="80"/>
      <c r="P61" s="80"/>
      <c r="Q61" s="80"/>
      <c r="R61" s="71"/>
      <c r="S61" s="71"/>
      <c r="T61" s="80">
        <f t="shared" si="9"/>
        <v>0</v>
      </c>
      <c r="U61" s="80">
        <f t="shared" si="9"/>
        <v>0</v>
      </c>
      <c r="V61" s="80">
        <f t="shared" si="9"/>
        <v>0</v>
      </c>
      <c r="W61" s="80">
        <f t="shared" si="9"/>
        <v>0</v>
      </c>
      <c r="X61" s="80"/>
      <c r="Y61" s="80">
        <f>IF($M61="A",J61,)</f>
        <v>0</v>
      </c>
      <c r="Z61" s="80">
        <f>IF(IF($M61="A",H61+I61+K61,)-IF(G61="Relais-uitgangsmodule 2x zonwering Comforte CX RO2-2 GST18",1,)-IF(G61="Relais-uitgangsmodule 2x verlichting Comforte CX RO2-1L GST1",2,)&lt;0,0,IF($M61="A",H61+I61+K61,)-IF(G61="Relais-uitgangsmodule 2x zonwering Comforte CX RO2-2 GST18",1,)-IF(G61="Relais-uitgangsmodule 2x verlichting Comforte CX RO2-1L GST1",2,))</f>
        <v>49</v>
      </c>
      <c r="AA61" s="80"/>
    </row>
    <row r="62" spans="2:27" x14ac:dyDescent="0.3">
      <c r="B62" s="72"/>
      <c r="D62" s="79"/>
      <c r="H62" s="73"/>
      <c r="I62" s="73"/>
      <c r="J62" s="73"/>
      <c r="K62" s="73"/>
      <c r="L62" s="73"/>
      <c r="M62" s="73"/>
      <c r="N62" s="80"/>
      <c r="O62" s="73"/>
      <c r="P62" s="73"/>
      <c r="Q62" s="71"/>
      <c r="R62" s="71"/>
      <c r="S62" s="71"/>
      <c r="T62" s="80"/>
      <c r="U62" s="73"/>
      <c r="V62" s="73"/>
      <c r="X62" s="80"/>
      <c r="Y62" s="80"/>
      <c r="Z62" s="80"/>
      <c r="AA62" s="80"/>
    </row>
    <row r="63" spans="2:27" x14ac:dyDescent="0.3">
      <c r="B63" s="72"/>
      <c r="D63" s="135"/>
      <c r="E63" s="76" t="s">
        <v>329</v>
      </c>
      <c r="F63" s="136"/>
      <c r="H63" s="73"/>
      <c r="I63" s="73"/>
      <c r="J63" s="73"/>
      <c r="K63" s="73"/>
      <c r="L63" s="73"/>
      <c r="M63" s="73"/>
      <c r="N63" s="80"/>
      <c r="O63" s="73"/>
      <c r="P63" s="73"/>
      <c r="Q63" s="71"/>
      <c r="R63" s="71"/>
      <c r="S63" s="71"/>
      <c r="T63" s="80"/>
      <c r="U63" s="73"/>
      <c r="V63" s="73"/>
      <c r="X63" s="80"/>
      <c r="Y63" s="80"/>
      <c r="Z63" s="80"/>
      <c r="AA63" s="80"/>
    </row>
    <row r="64" spans="2:27" x14ac:dyDescent="0.3">
      <c r="B64" s="72"/>
      <c r="D64" s="79">
        <v>8</v>
      </c>
      <c r="E64" s="71" t="s">
        <v>303</v>
      </c>
      <c r="G64" s="71" t="s">
        <v>304</v>
      </c>
      <c r="H64" s="73"/>
      <c r="I64" s="73"/>
      <c r="J64" s="73"/>
      <c r="K64" s="73"/>
      <c r="L64" s="73"/>
      <c r="M64" s="73"/>
      <c r="N64" s="80"/>
      <c r="O64" s="80"/>
      <c r="P64" s="80"/>
      <c r="Q64" s="80"/>
      <c r="R64" s="71"/>
      <c r="S64" s="71"/>
      <c r="T64" s="80">
        <f t="shared" ref="T64:W73" si="12">IF($M64="R",H64,)</f>
        <v>0</v>
      </c>
      <c r="U64" s="80">
        <f t="shared" si="12"/>
        <v>0</v>
      </c>
      <c r="V64" s="80">
        <f t="shared" si="12"/>
        <v>0</v>
      </c>
      <c r="W64" s="80">
        <f t="shared" si="12"/>
        <v>0</v>
      </c>
      <c r="X64" s="80"/>
      <c r="Y64" s="80">
        <f t="shared" ref="Y64:Y72" si="13">IF($M64="A",J64,)</f>
        <v>0</v>
      </c>
      <c r="Z64" s="80">
        <f t="shared" ref="Z64:Z72" si="14">IF($M64="A",H64+I64+K64,)-IF(G64="Relais-uitgangsmodule 2x zonwering Comforte CX RO2-2 GST18",1,)-IF(G64="Relais-uitgangsmodule 2x verlichting Comforte CX RO2-1L GST1",2,)</f>
        <v>0</v>
      </c>
      <c r="AA64" s="80"/>
    </row>
    <row r="65" spans="2:27" x14ac:dyDescent="0.3">
      <c r="B65" s="72"/>
      <c r="D65" s="79">
        <v>8</v>
      </c>
      <c r="E65" s="71" t="s">
        <v>305</v>
      </c>
      <c r="G65" s="71" t="s">
        <v>306</v>
      </c>
      <c r="H65" s="73"/>
      <c r="I65" s="73"/>
      <c r="J65" s="73"/>
      <c r="K65" s="73"/>
      <c r="L65" s="73"/>
      <c r="M65" s="73"/>
      <c r="N65" s="80"/>
      <c r="O65" s="80"/>
      <c r="P65" s="80"/>
      <c r="Q65" s="80"/>
      <c r="R65" s="71"/>
      <c r="S65" s="71"/>
      <c r="T65" s="80">
        <f t="shared" si="12"/>
        <v>0</v>
      </c>
      <c r="U65" s="80">
        <f t="shared" si="12"/>
        <v>0</v>
      </c>
      <c r="V65" s="80">
        <f t="shared" si="12"/>
        <v>0</v>
      </c>
      <c r="W65" s="80">
        <f t="shared" si="12"/>
        <v>0</v>
      </c>
      <c r="X65" s="80"/>
      <c r="Y65" s="80">
        <f t="shared" si="13"/>
        <v>0</v>
      </c>
      <c r="Z65" s="80">
        <f t="shared" si="14"/>
        <v>0</v>
      </c>
      <c r="AA65" s="80"/>
    </row>
    <row r="66" spans="2:27" x14ac:dyDescent="0.3">
      <c r="B66" s="72"/>
      <c r="D66" s="79">
        <v>8</v>
      </c>
      <c r="E66" s="71" t="s">
        <v>307</v>
      </c>
      <c r="G66" s="71" t="s">
        <v>308</v>
      </c>
      <c r="H66" s="73"/>
      <c r="I66" s="73"/>
      <c r="J66" s="73">
        <f>1*$D66</f>
        <v>8</v>
      </c>
      <c r="K66" s="73"/>
      <c r="L66" s="73"/>
      <c r="M66" s="73" t="s">
        <v>37</v>
      </c>
      <c r="N66" s="80"/>
      <c r="O66" s="80"/>
      <c r="P66" s="80"/>
      <c r="Q66" s="80"/>
      <c r="R66" s="71"/>
      <c r="S66" s="71"/>
      <c r="T66" s="80">
        <f t="shared" si="12"/>
        <v>0</v>
      </c>
      <c r="U66" s="80">
        <f t="shared" si="12"/>
        <v>0</v>
      </c>
      <c r="V66" s="80">
        <f t="shared" si="12"/>
        <v>0</v>
      </c>
      <c r="W66" s="80">
        <f t="shared" si="12"/>
        <v>0</v>
      </c>
      <c r="X66" s="80"/>
      <c r="Y66" s="80">
        <f t="shared" si="13"/>
        <v>8</v>
      </c>
      <c r="Z66" s="80">
        <f t="shared" si="14"/>
        <v>0</v>
      </c>
      <c r="AA66" s="80"/>
    </row>
    <row r="67" spans="2:27" x14ac:dyDescent="0.3">
      <c r="B67" s="72"/>
      <c r="D67" s="79">
        <v>8</v>
      </c>
      <c r="E67" s="71" t="s">
        <v>309</v>
      </c>
      <c r="G67" s="71" t="s">
        <v>310</v>
      </c>
      <c r="H67" s="73"/>
      <c r="I67" s="73"/>
      <c r="J67" s="73"/>
      <c r="K67" s="73">
        <f>1*$D67</f>
        <v>8</v>
      </c>
      <c r="L67" s="73"/>
      <c r="M67" s="73"/>
      <c r="N67" s="80"/>
      <c r="O67" s="80"/>
      <c r="P67" s="80"/>
      <c r="Q67" s="80"/>
      <c r="R67" s="71"/>
      <c r="S67" s="71"/>
      <c r="T67" s="80">
        <f t="shared" si="12"/>
        <v>0</v>
      </c>
      <c r="U67" s="80">
        <f t="shared" si="12"/>
        <v>0</v>
      </c>
      <c r="V67" s="80">
        <f t="shared" si="12"/>
        <v>0</v>
      </c>
      <c r="W67" s="80">
        <f t="shared" si="12"/>
        <v>0</v>
      </c>
      <c r="X67" s="80"/>
      <c r="Y67" s="80">
        <f t="shared" si="13"/>
        <v>0</v>
      </c>
      <c r="Z67" s="80">
        <f t="shared" si="14"/>
        <v>0</v>
      </c>
      <c r="AA67" s="80"/>
    </row>
    <row r="68" spans="2:27" x14ac:dyDescent="0.3">
      <c r="B68" s="72"/>
      <c r="D68" s="79">
        <v>8</v>
      </c>
      <c r="E68" s="71" t="s">
        <v>311</v>
      </c>
      <c r="F68" s="71" t="s">
        <v>312</v>
      </c>
      <c r="G68" s="71" t="s">
        <v>313</v>
      </c>
      <c r="H68" s="73"/>
      <c r="I68" s="73"/>
      <c r="J68" s="73"/>
      <c r="K68" s="73">
        <f>1*$D68</f>
        <v>8</v>
      </c>
      <c r="L68" s="73"/>
      <c r="M68" s="73"/>
      <c r="N68" s="80"/>
      <c r="O68" s="80"/>
      <c r="P68" s="80"/>
      <c r="Q68" s="80"/>
      <c r="R68" s="71"/>
      <c r="S68" s="71"/>
      <c r="T68" s="80">
        <f t="shared" si="12"/>
        <v>0</v>
      </c>
      <c r="U68" s="80">
        <f t="shared" si="12"/>
        <v>0</v>
      </c>
      <c r="V68" s="80">
        <f t="shared" si="12"/>
        <v>0</v>
      </c>
      <c r="W68" s="80">
        <f t="shared" si="12"/>
        <v>0</v>
      </c>
      <c r="X68" s="80"/>
      <c r="Y68" s="80">
        <f t="shared" si="13"/>
        <v>0</v>
      </c>
      <c r="Z68" s="80">
        <f t="shared" si="14"/>
        <v>0</v>
      </c>
      <c r="AA68" s="80"/>
    </row>
    <row r="69" spans="2:27" x14ac:dyDescent="0.3">
      <c r="B69" s="72"/>
      <c r="D69" s="79">
        <v>8</v>
      </c>
      <c r="E69" s="71" t="s">
        <v>314</v>
      </c>
      <c r="F69" s="71" t="s">
        <v>312</v>
      </c>
      <c r="G69" s="71" t="s">
        <v>313</v>
      </c>
      <c r="H69" s="73"/>
      <c r="I69" s="73"/>
      <c r="J69" s="73"/>
      <c r="K69" s="73" t="s">
        <v>315</v>
      </c>
      <c r="L69" s="73"/>
      <c r="M69" s="73"/>
      <c r="N69" s="80"/>
      <c r="O69" s="80"/>
      <c r="P69" s="80"/>
      <c r="Q69" s="80"/>
      <c r="R69" s="71"/>
      <c r="S69" s="71"/>
      <c r="T69" s="80">
        <f t="shared" si="12"/>
        <v>0</v>
      </c>
      <c r="U69" s="80">
        <f t="shared" si="12"/>
        <v>0</v>
      </c>
      <c r="V69" s="80">
        <f t="shared" si="12"/>
        <v>0</v>
      </c>
      <c r="W69" s="80">
        <f t="shared" si="12"/>
        <v>0</v>
      </c>
      <c r="X69" s="80"/>
      <c r="Y69" s="80">
        <f t="shared" si="13"/>
        <v>0</v>
      </c>
      <c r="Z69" s="80">
        <f t="shared" si="14"/>
        <v>0</v>
      </c>
      <c r="AA69" s="80"/>
    </row>
    <row r="70" spans="2:27" x14ac:dyDescent="0.3">
      <c r="B70" s="72"/>
      <c r="D70" s="79">
        <v>8</v>
      </c>
      <c r="E70" s="71" t="s">
        <v>316</v>
      </c>
      <c r="G70" s="71" t="s">
        <v>317</v>
      </c>
      <c r="H70" s="73"/>
      <c r="I70" s="75">
        <f>D70</f>
        <v>8</v>
      </c>
      <c r="J70" s="73"/>
      <c r="K70" s="73"/>
      <c r="L70" s="73"/>
      <c r="M70" s="73" t="s">
        <v>318</v>
      </c>
      <c r="N70" s="80"/>
      <c r="O70" s="80"/>
      <c r="P70" s="80"/>
      <c r="Q70" s="80"/>
      <c r="R70" s="71"/>
      <c r="S70" s="71"/>
      <c r="T70" s="80">
        <f t="shared" si="12"/>
        <v>0</v>
      </c>
      <c r="U70" s="80">
        <f t="shared" si="12"/>
        <v>8</v>
      </c>
      <c r="V70" s="80">
        <f t="shared" si="12"/>
        <v>0</v>
      </c>
      <c r="W70" s="80">
        <f t="shared" si="12"/>
        <v>0</v>
      </c>
      <c r="X70" s="80"/>
      <c r="Y70" s="80">
        <f t="shared" si="13"/>
        <v>0</v>
      </c>
      <c r="Z70" s="80">
        <f t="shared" si="14"/>
        <v>0</v>
      </c>
      <c r="AA70" s="80"/>
    </row>
    <row r="71" spans="2:27" x14ac:dyDescent="0.3">
      <c r="B71" s="72"/>
      <c r="D71" s="79">
        <v>8</v>
      </c>
      <c r="E71" s="71" t="s">
        <v>319</v>
      </c>
      <c r="G71" s="71" t="s">
        <v>320</v>
      </c>
      <c r="H71" s="73"/>
      <c r="I71" s="73"/>
      <c r="J71" s="73"/>
      <c r="K71" s="73"/>
      <c r="L71" s="73"/>
      <c r="M71" s="73"/>
      <c r="N71" s="80"/>
      <c r="O71" s="80"/>
      <c r="P71" s="80"/>
      <c r="Q71" s="80"/>
      <c r="R71" s="71"/>
      <c r="S71" s="71"/>
      <c r="T71" s="80">
        <f t="shared" si="12"/>
        <v>0</v>
      </c>
      <c r="U71" s="80">
        <f t="shared" si="12"/>
        <v>0</v>
      </c>
      <c r="V71" s="80">
        <f t="shared" si="12"/>
        <v>0</v>
      </c>
      <c r="W71" s="80">
        <f t="shared" si="12"/>
        <v>0</v>
      </c>
      <c r="X71" s="80"/>
      <c r="Y71" s="80">
        <f t="shared" si="13"/>
        <v>0</v>
      </c>
      <c r="Z71" s="80">
        <f t="shared" si="14"/>
        <v>0</v>
      </c>
      <c r="AA71" s="80"/>
    </row>
    <row r="72" spans="2:27" x14ac:dyDescent="0.3">
      <c r="B72" s="72"/>
      <c r="D72" s="79">
        <v>8</v>
      </c>
      <c r="E72" s="71" t="s">
        <v>321</v>
      </c>
      <c r="G72" s="71" t="s">
        <v>322</v>
      </c>
      <c r="H72" s="73"/>
      <c r="I72" s="73"/>
      <c r="J72" s="73"/>
      <c r="K72" s="73"/>
      <c r="L72" s="73"/>
      <c r="M72" s="73"/>
      <c r="N72" s="80"/>
      <c r="O72" s="80"/>
      <c r="P72" s="80"/>
      <c r="Q72" s="80"/>
      <c r="R72" s="71"/>
      <c r="S72" s="71"/>
      <c r="T72" s="80">
        <f t="shared" si="12"/>
        <v>0</v>
      </c>
      <c r="U72" s="80">
        <f t="shared" si="12"/>
        <v>0</v>
      </c>
      <c r="V72" s="80">
        <f t="shared" si="12"/>
        <v>0</v>
      </c>
      <c r="W72" s="80">
        <f t="shared" si="12"/>
        <v>0</v>
      </c>
      <c r="X72" s="80"/>
      <c r="Y72" s="80">
        <f t="shared" si="13"/>
        <v>0</v>
      </c>
      <c r="Z72" s="80">
        <f t="shared" si="14"/>
        <v>0</v>
      </c>
      <c r="AA72" s="80"/>
    </row>
    <row r="73" spans="2:27" x14ac:dyDescent="0.3">
      <c r="B73" s="72"/>
      <c r="D73" s="79">
        <v>8</v>
      </c>
      <c r="E73" s="71" t="s">
        <v>323</v>
      </c>
      <c r="G73" s="71" t="s">
        <v>324</v>
      </c>
      <c r="H73" s="73"/>
      <c r="I73" s="75">
        <f>2*$D73</f>
        <v>16</v>
      </c>
      <c r="J73" s="73"/>
      <c r="K73" s="73"/>
      <c r="L73" s="73"/>
      <c r="M73" s="73" t="s">
        <v>37</v>
      </c>
      <c r="N73" s="80"/>
      <c r="O73" s="80"/>
      <c r="P73" s="80"/>
      <c r="Q73" s="80"/>
      <c r="R73" s="71"/>
      <c r="S73" s="71"/>
      <c r="T73" s="80">
        <f t="shared" si="12"/>
        <v>0</v>
      </c>
      <c r="U73" s="80">
        <f t="shared" si="12"/>
        <v>0</v>
      </c>
      <c r="V73" s="80">
        <f t="shared" si="12"/>
        <v>0</v>
      </c>
      <c r="W73" s="80">
        <f t="shared" si="12"/>
        <v>0</v>
      </c>
      <c r="X73" s="80"/>
      <c r="Y73" s="80">
        <f>IF($M73="A",J73,)</f>
        <v>0</v>
      </c>
      <c r="Z73" s="80">
        <f>IF(IF($M73="A",H73+I73+K73,)-IF(G73="Relais-uitgangsmodule 2x zonwering Comforte CX RO2-2 GST18",1,)-IF(G73="Relais-uitgangsmodule 2x verlichting Comforte CX RO2-1L GST1",2,)&lt;0,0,IF($M73="A",H73+I73+K73,)-IF(G73="Relais-uitgangsmodule 2x zonwering Comforte CX RO2-2 GST18",1,)-IF(G73="Relais-uitgangsmodule 2x verlichting Comforte CX RO2-1L GST1",2,))</f>
        <v>15</v>
      </c>
      <c r="AA73" s="80"/>
    </row>
    <row r="74" spans="2:27" x14ac:dyDescent="0.3">
      <c r="B74" s="72"/>
      <c r="D74" s="79"/>
      <c r="H74" s="73"/>
      <c r="I74" s="73"/>
      <c r="J74" s="73"/>
      <c r="K74" s="73"/>
      <c r="L74" s="73"/>
      <c r="M74" s="73"/>
      <c r="N74" s="80"/>
      <c r="O74" s="73"/>
      <c r="P74" s="73"/>
      <c r="Q74" s="71"/>
      <c r="R74" s="71"/>
      <c r="S74" s="71"/>
      <c r="T74" s="80"/>
      <c r="U74" s="73"/>
      <c r="V74" s="73"/>
      <c r="X74" s="80"/>
      <c r="Y74" s="80"/>
      <c r="Z74" s="80"/>
      <c r="AA74" s="80"/>
    </row>
    <row r="75" spans="2:27" s="128" customFormat="1" x14ac:dyDescent="0.3">
      <c r="B75" s="129"/>
      <c r="D75" s="130"/>
      <c r="E75" s="131"/>
      <c r="F75" s="132"/>
      <c r="H75" s="133"/>
      <c r="I75" s="133"/>
      <c r="J75" s="133"/>
      <c r="K75" s="133"/>
      <c r="L75" s="133"/>
      <c r="M75" s="133"/>
    </row>
    <row r="76" spans="2:27" s="128" customFormat="1" x14ac:dyDescent="0.3">
      <c r="B76" s="129"/>
      <c r="D76" s="130"/>
      <c r="E76" s="131"/>
      <c r="F76" s="132"/>
      <c r="H76" s="133"/>
      <c r="I76" s="133"/>
      <c r="J76" s="133"/>
      <c r="K76" s="133"/>
      <c r="L76" s="133"/>
      <c r="M76" s="133"/>
    </row>
    <row r="77" spans="2:27" s="128" customFormat="1" x14ac:dyDescent="0.3">
      <c r="B77" s="129"/>
      <c r="D77" s="130"/>
      <c r="E77" s="131"/>
      <c r="F77" s="132"/>
      <c r="H77" s="133"/>
      <c r="I77" s="133"/>
      <c r="J77" s="133"/>
      <c r="K77" s="133"/>
      <c r="L77" s="133"/>
      <c r="M77" s="133"/>
    </row>
    <row r="78" spans="2:27" x14ac:dyDescent="0.3">
      <c r="B78" s="72"/>
      <c r="D78" s="79"/>
      <c r="H78" s="73"/>
      <c r="I78" s="73"/>
      <c r="J78" s="73"/>
      <c r="K78" s="73"/>
      <c r="L78" s="73"/>
      <c r="M78" s="73"/>
      <c r="N78" s="80"/>
      <c r="O78" s="73"/>
      <c r="P78" s="73"/>
      <c r="Q78" s="71"/>
      <c r="R78" s="71"/>
      <c r="S78" s="71"/>
      <c r="T78" s="80"/>
      <c r="U78" s="73"/>
      <c r="V78" s="73"/>
      <c r="X78" s="80"/>
      <c r="Y78" s="80"/>
      <c r="Z78" s="80"/>
      <c r="AA78" s="80"/>
    </row>
    <row r="79" spans="2:27" s="128" customFormat="1" x14ac:dyDescent="0.3">
      <c r="B79" s="129"/>
      <c r="D79" s="130"/>
      <c r="E79" s="131"/>
      <c r="F79" s="132"/>
      <c r="H79" s="133"/>
      <c r="I79" s="133"/>
      <c r="J79" s="133"/>
      <c r="K79" s="133"/>
      <c r="L79" s="133"/>
      <c r="M79" s="133"/>
    </row>
    <row r="80" spans="2:27" s="128" customFormat="1" x14ac:dyDescent="0.3">
      <c r="B80" s="129"/>
      <c r="D80" s="137"/>
      <c r="H80" s="133"/>
      <c r="I80" s="133"/>
      <c r="J80" s="133"/>
      <c r="K80" s="133"/>
      <c r="L80" s="133"/>
      <c r="M80" s="133"/>
    </row>
    <row r="81" spans="2:19" s="128" customFormat="1" x14ac:dyDescent="0.3">
      <c r="B81" s="129"/>
      <c r="D81" s="137"/>
      <c r="H81" s="133"/>
      <c r="I81" s="133"/>
      <c r="J81" s="133"/>
      <c r="K81" s="133"/>
      <c r="L81" s="133"/>
      <c r="M81" s="133"/>
    </row>
    <row r="82" spans="2:19" x14ac:dyDescent="0.3">
      <c r="B82" s="72"/>
      <c r="D82" s="102"/>
      <c r="E82" s="2"/>
      <c r="F82" s="2"/>
      <c r="G82" s="128"/>
      <c r="H82" s="73"/>
      <c r="I82" s="73"/>
      <c r="J82" s="73"/>
      <c r="K82" s="73"/>
      <c r="L82" s="73"/>
      <c r="M82" s="73"/>
      <c r="N82" s="3"/>
      <c r="O82" s="3"/>
      <c r="P82" s="3"/>
      <c r="Q82" s="3"/>
      <c r="R82" s="3"/>
      <c r="S82" s="3"/>
    </row>
    <row r="83" spans="2:19" x14ac:dyDescent="0.3">
      <c r="B83" s="72"/>
      <c r="D83" s="102"/>
      <c r="E83" s="2"/>
      <c r="F83" s="2"/>
      <c r="G83" s="128"/>
      <c r="H83" s="73"/>
      <c r="I83" s="73"/>
      <c r="J83" s="73"/>
      <c r="K83" s="73"/>
      <c r="L83" s="73"/>
      <c r="M83" s="73"/>
      <c r="N83" s="3"/>
      <c r="O83" s="3"/>
      <c r="P83" s="3"/>
      <c r="Q83" s="3"/>
      <c r="R83" s="3"/>
      <c r="S83" s="3"/>
    </row>
    <row r="84" spans="2:19" x14ac:dyDescent="0.3">
      <c r="B84" s="72"/>
      <c r="D84" s="84" t="s">
        <v>192</v>
      </c>
      <c r="E84" s="85"/>
      <c r="F84" s="2"/>
      <c r="G84" s="128"/>
      <c r="H84" s="73"/>
      <c r="I84" s="73"/>
      <c r="J84" s="73"/>
      <c r="K84" s="73"/>
      <c r="L84" s="73"/>
      <c r="M84" s="73"/>
      <c r="N84" s="3"/>
      <c r="O84" s="3"/>
      <c r="P84" s="3"/>
      <c r="Q84" s="3"/>
      <c r="R84" s="3"/>
      <c r="S84" s="3"/>
    </row>
    <row r="85" spans="2:19" x14ac:dyDescent="0.3">
      <c r="D85" s="86" t="s">
        <v>193</v>
      </c>
      <c r="E85" s="87" t="s">
        <v>194</v>
      </c>
      <c r="G85" s="128"/>
      <c r="N85" s="3"/>
      <c r="O85" s="3"/>
      <c r="P85" s="3"/>
      <c r="Q85" s="3"/>
      <c r="R85" s="3"/>
      <c r="S85" s="3"/>
    </row>
    <row r="86" spans="2:19" x14ac:dyDescent="0.3">
      <c r="D86" s="88" t="s">
        <v>193</v>
      </c>
      <c r="E86" s="89" t="s">
        <v>195</v>
      </c>
      <c r="G86" s="128"/>
      <c r="N86" s="3"/>
      <c r="O86" s="3"/>
      <c r="P86" s="3"/>
      <c r="Q86" s="3"/>
      <c r="R86" s="3"/>
      <c r="S86" s="3"/>
    </row>
    <row r="87" spans="2:19" x14ac:dyDescent="0.3">
      <c r="D87" s="90" t="s">
        <v>193</v>
      </c>
      <c r="E87" s="91" t="s">
        <v>196</v>
      </c>
      <c r="G87" s="128"/>
      <c r="N87" s="3"/>
      <c r="O87" s="3"/>
      <c r="P87" s="3"/>
      <c r="Q87" s="3"/>
      <c r="R87" s="3"/>
      <c r="S87" s="3"/>
    </row>
    <row r="88" spans="2:19" x14ac:dyDescent="0.3">
      <c r="D88" s="92" t="s">
        <v>193</v>
      </c>
      <c r="E88" s="93" t="s">
        <v>197</v>
      </c>
      <c r="G88" s="128"/>
      <c r="N88" s="3"/>
      <c r="O88" s="3"/>
      <c r="P88" s="3"/>
      <c r="Q88" s="3"/>
      <c r="R88" s="3"/>
      <c r="S88" s="3"/>
    </row>
    <row r="89" spans="2:19" x14ac:dyDescent="0.3">
      <c r="G89" s="128"/>
      <c r="N89" s="3"/>
      <c r="O89" s="3"/>
      <c r="P89" s="3"/>
      <c r="Q89" s="3"/>
      <c r="R89" s="3"/>
      <c r="S89" s="3"/>
    </row>
    <row r="90" spans="2:19" s="128" customFormat="1" x14ac:dyDescent="0.3">
      <c r="B90" s="129"/>
      <c r="D90" s="137"/>
      <c r="H90" s="133"/>
      <c r="I90" s="133"/>
      <c r="J90" s="133"/>
      <c r="K90" s="133"/>
      <c r="L90" s="133"/>
      <c r="M90" s="133"/>
    </row>
    <row r="91" spans="2:19" x14ac:dyDescent="0.3">
      <c r="G91" s="128"/>
      <c r="N91" s="3"/>
      <c r="O91" s="3"/>
      <c r="P91" s="3"/>
      <c r="Q91" s="3"/>
      <c r="R91" s="3"/>
      <c r="S91" s="3"/>
    </row>
    <row r="92" spans="2:19" x14ac:dyDescent="0.3">
      <c r="N92" s="3"/>
      <c r="O92" s="3"/>
      <c r="P92" s="3"/>
      <c r="Q92" s="3"/>
      <c r="R92" s="3"/>
      <c r="S92" s="3"/>
    </row>
    <row r="93" spans="2:19" x14ac:dyDescent="0.3">
      <c r="N93" s="3"/>
      <c r="O93" s="3"/>
      <c r="P93" s="3"/>
      <c r="Q93" s="3"/>
      <c r="R93" s="3"/>
      <c r="S93" s="3"/>
    </row>
    <row r="94" spans="2:19" x14ac:dyDescent="0.3">
      <c r="N94" s="3"/>
      <c r="O94" s="3"/>
      <c r="P94" s="3"/>
      <c r="Q94" s="3"/>
      <c r="R94" s="3"/>
      <c r="S94" s="3"/>
    </row>
    <row r="95" spans="2:19" x14ac:dyDescent="0.3">
      <c r="N95" s="3"/>
      <c r="O95" s="3"/>
      <c r="P95" s="3"/>
      <c r="Q95" s="3"/>
      <c r="R95" s="3"/>
      <c r="S95" s="3"/>
    </row>
    <row r="96" spans="2:19" x14ac:dyDescent="0.3">
      <c r="N96" s="3"/>
      <c r="O96" s="3"/>
      <c r="P96" s="3"/>
      <c r="Q96" s="3"/>
      <c r="R96" s="3"/>
      <c r="S96" s="3"/>
    </row>
    <row r="97" spans="14:19" x14ac:dyDescent="0.3">
      <c r="N97" s="3"/>
      <c r="O97" s="3"/>
      <c r="P97" s="3"/>
      <c r="Q97" s="3"/>
      <c r="R97" s="3"/>
      <c r="S97" s="3"/>
    </row>
    <row r="98" spans="14:19" x14ac:dyDescent="0.3">
      <c r="N98" s="3"/>
      <c r="O98" s="3"/>
      <c r="P98" s="3"/>
      <c r="Q98" s="3"/>
      <c r="R98" s="3"/>
      <c r="S98" s="3"/>
    </row>
    <row r="99" spans="14:19" x14ac:dyDescent="0.3">
      <c r="N99" s="3"/>
      <c r="O99" s="3"/>
      <c r="P99" s="3"/>
      <c r="Q99" s="3"/>
      <c r="R99" s="3"/>
      <c r="S99" s="3"/>
    </row>
    <row r="100" spans="14:19" x14ac:dyDescent="0.3">
      <c r="N100" s="3"/>
      <c r="O100" s="3"/>
      <c r="P100" s="3"/>
      <c r="Q100" s="3"/>
      <c r="R100" s="3"/>
      <c r="S100" s="3"/>
    </row>
    <row r="101" spans="14:19" x14ac:dyDescent="0.3">
      <c r="N101" s="3"/>
      <c r="O101" s="3"/>
      <c r="P101" s="3"/>
      <c r="Q101" s="3"/>
      <c r="R101" s="3"/>
      <c r="S101" s="3"/>
    </row>
    <row r="102" spans="14:19" x14ac:dyDescent="0.3">
      <c r="N102" s="3"/>
      <c r="O102" s="3"/>
      <c r="P102" s="3"/>
      <c r="Q102" s="3"/>
      <c r="R102" s="3"/>
      <c r="S102" s="3"/>
    </row>
    <row r="103" spans="14:19" x14ac:dyDescent="0.3">
      <c r="N103" s="3"/>
      <c r="O103" s="3"/>
      <c r="P103" s="3"/>
      <c r="Q103" s="3"/>
      <c r="R103" s="3"/>
      <c r="S103" s="3"/>
    </row>
    <row r="104" spans="14:19" x14ac:dyDescent="0.3">
      <c r="N104" s="3"/>
      <c r="O104" s="3"/>
      <c r="P104" s="3"/>
      <c r="Q104" s="3"/>
      <c r="R104" s="3"/>
      <c r="S104" s="3"/>
    </row>
    <row r="105" spans="14:19" x14ac:dyDescent="0.3">
      <c r="N105" s="3"/>
      <c r="O105" s="3"/>
      <c r="P105" s="3"/>
      <c r="Q105" s="3"/>
      <c r="R105" s="3"/>
      <c r="S105" s="3"/>
    </row>
    <row r="106" spans="14:19" x14ac:dyDescent="0.3">
      <c r="N106" s="3"/>
      <c r="O106" s="3"/>
      <c r="P106" s="3"/>
      <c r="Q106" s="3"/>
      <c r="R106" s="3"/>
      <c r="S106" s="3"/>
    </row>
  </sheetData>
  <sheetProtection formatRows="0" insertRows="0" deleteRows="0"/>
  <mergeCells count="4">
    <mergeCell ref="B7:C7"/>
    <mergeCell ref="H7:K7"/>
    <mergeCell ref="N7:P7"/>
    <mergeCell ref="Q7:S7"/>
  </mergeCells>
  <dataValidations count="9">
    <dataValidation type="list" allowBlank="1" showInputMessage="1" showErrorMessage="1" sqref="G23 G36 G48 G61 G73" xr:uid="{83F88C0D-F0CA-48C7-8267-8EE70DC27EBA}">
      <formula1>CX_uitbreidingsmodulen</formula1>
    </dataValidation>
    <dataValidation type="list" allowBlank="1" showInputMessage="1" showErrorMessage="1" sqref="G21:G22 G34:G35 G46:G47 G59:G60 G71:G72" xr:uid="{B3B7A2E9-28B1-4224-9363-EC8623F7860B}">
      <formula1>Roombus</formula1>
    </dataValidation>
    <dataValidation type="list" allowBlank="1" showInputMessage="1" showErrorMessage="1" sqref="M53:M61 M14:M23 M28:M36 M39:M48 M64:M73" xr:uid="{714F4DCA-7A2A-4F46-A5C8-93D4000DF707}">
      <formula1>"A,R"</formula1>
    </dataValidation>
    <dataValidation type="list" allowBlank="1" showInputMessage="1" showErrorMessage="1" sqref="G57:G58 G20 G32:G33 G45 G70" xr:uid="{7013ED22-69D9-4B67-97EE-A05DF338E806}">
      <formula1>Naregelafsluiters_drukgecomp</formula1>
    </dataValidation>
    <dataValidation type="list" allowBlank="1" showInputMessage="1" showErrorMessage="1" sqref="G14 G28 G39 G53 G64" xr:uid="{2F98E083-9615-4C54-9DCD-D97DF282B4D8}">
      <formula1>Comfortes</formula1>
    </dataValidation>
    <dataValidation type="list" allowBlank="1" showInputMessage="1" showErrorMessage="1" sqref="G15 G29 G40 G54 G65" xr:uid="{2FEC112B-49B6-4F60-9E80-30F8024DDEAE}">
      <formula1>Comforte_trafo</formula1>
    </dataValidation>
    <dataValidation type="list" allowBlank="1" showInputMessage="1" showErrorMessage="1" sqref="G16 G30 G41 G55 G66" xr:uid="{1F7CA2E8-3D0A-4C55-82A7-0B6BA4F35B7B}">
      <formula1>Ruimtebedienapparaten</formula1>
    </dataValidation>
    <dataValidation type="list" allowBlank="1" showInputMessage="1" showErrorMessage="1" sqref="G17 G31 G42 G56 G67" xr:uid="{2ADF17AE-E1EC-4927-B510-840A85FA10D0}">
      <formula1>Naregelafsluiters</formula1>
    </dataValidation>
    <dataValidation operator="equal" allowBlank="1" showInputMessage="1" showErrorMessage="1" sqref="Q7 N7 N2:S6 N8:S9 D2:M9" xr:uid="{D7911031-C59D-49A6-B5E6-60DB7D9016CC}"/>
  </dataValidations>
  <pageMargins left="0.19685039370078741" right="0.11811023622047244" top="0.55118110236220474" bottom="0.55118110236220474" header="0.31496062992125984" footer="0.31496062992125984"/>
  <pageSetup paperSize="9" scale="66" fitToHeight="0" orientation="landscape" cellComments="atEnd" r:id="rId1"/>
  <headerFooter>
    <oddHeader>&amp;L&amp;"-,Standaard"&amp;14&amp;KC3002FBijlage: Functielijst</oddHeader>
    <oddFooter>&amp;C&amp;"Calibri,Standaard"&amp;11Pagina &amp;P van &amp;N</oddFooter>
  </headerFooter>
  <rowBreaks count="1" manualBreakCount="1">
    <brk id="48" min="3" max="11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0b2096d-bb4a-46cb-b083-3816298b28d3" xsi:nil="true"/>
    <lcf76f155ced4ddcb4097134ff3c332f xmlns="771e30b6-f91e-44a0-a0de-d6d2d9708c6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877683414ABF4C8D533D095CD88726" ma:contentTypeVersion="12" ma:contentTypeDescription="Een nieuw document maken." ma:contentTypeScope="" ma:versionID="935a6798236d6364f0c801fe65f0a8e3">
  <xsd:schema xmlns:xsd="http://www.w3.org/2001/XMLSchema" xmlns:xs="http://www.w3.org/2001/XMLSchema" xmlns:p="http://schemas.microsoft.com/office/2006/metadata/properties" xmlns:ns2="771e30b6-f91e-44a0-a0de-d6d2d9708c62" xmlns:ns3="c0b2096d-bb4a-46cb-b083-3816298b28d3" targetNamespace="http://schemas.microsoft.com/office/2006/metadata/properties" ma:root="true" ma:fieldsID="2202373b74a67458018a033a33550e32" ns2:_="" ns3:_="">
    <xsd:import namespace="771e30b6-f91e-44a0-a0de-d6d2d9708c62"/>
    <xsd:import namespace="c0b2096d-bb4a-46cb-b083-3816298b28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1e30b6-f91e-44a0-a0de-d6d2d9708c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74f9fd84-adc9-48b5-8915-afef0dbfb6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2096d-bb4a-46cb-b083-3816298b28d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dc8746f-01c0-47bf-b6d4-fbd4374b60c7}" ma:internalName="TaxCatchAll" ma:showField="CatchAllData" ma:web="c0b2096d-bb4a-46cb-b083-3816298b28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F203D3-F467-4A03-B265-3DCA80C2123D}">
  <ds:schemaRefs>
    <ds:schemaRef ds:uri="http://purl.org/dc/dcmitype/"/>
    <ds:schemaRef ds:uri="http://schemas.microsoft.com/office/2006/documentManagement/types"/>
    <ds:schemaRef ds:uri="771e30b6-f91e-44a0-a0de-d6d2d9708c62"/>
    <ds:schemaRef ds:uri="http://schemas.openxmlformats.org/package/2006/metadata/core-properties"/>
    <ds:schemaRef ds:uri="c0b2096d-bb4a-46cb-b083-3816298b28d3"/>
    <ds:schemaRef ds:uri="http://purl.org/dc/terms/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DBF4DC6-F8C6-42D3-BF2D-C9CA6B45E5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1e30b6-f91e-44a0-a0de-d6d2d9708c62"/>
    <ds:schemaRef ds:uri="c0b2096d-bb4a-46cb-b083-3816298b28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32815C-1D7A-4B6A-9F83-52569A24461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1</vt:lpstr>
      <vt:lpstr>2</vt:lpstr>
      <vt:lpstr>NR</vt:lpstr>
      <vt:lpstr>'1'!Print_Area</vt:lpstr>
      <vt:lpstr>'2'!Print_Area</vt:lpstr>
      <vt:lpstr>NR!Print_Area</vt:lpstr>
      <vt:lpstr>'1'!Print_Titles</vt:lpstr>
      <vt:lpstr>'2'!Print_Titles</vt:lpstr>
      <vt:lpstr>NR!Print_Titles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Ashwien Anandbahadoer</dc:creator>
  <cp:lastModifiedBy>Laura Gozzo | ERCO</cp:lastModifiedBy>
  <dcterms:created xsi:type="dcterms:W3CDTF">2026-06-12T12:27:22Z</dcterms:created>
  <dcterms:modified xsi:type="dcterms:W3CDTF">2026-07-01T12:56:36Z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0x0101005F877683414ABF4C8D533D095CD88726</vt:lpwstr>
  </property>
  <property fmtid="{D5CDD505-2E9C-101B-9397-08002B2CF9AE}" pid="3" name="MediaServiceImageTags">
    <vt:lpwstr/>
  </property>
</Properties>
</file>