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75N/"/>
    </mc:Choice>
  </mc:AlternateContent>
  <xr:revisionPtr revIDLastSave="0" documentId="8_{867F4493-C8FA-42F2-90F1-CBF8E2B169BA}" xr6:coauthVersionLast="47" xr6:coauthVersionMax="47" xr10:uidLastSave="{00000000-0000-0000-0000-000000000000}"/>
  <bookViews>
    <workbookView xWindow="-120" yWindow="-120" windowWidth="77040" windowHeight="21120" xr2:uid="{ECEA1B11-3987-4C6B-B104-CF4989C8F48A}"/>
  </bookViews>
  <sheets>
    <sheet name="Sheet1" sheetId="1" r:id="rId1"/>
  </sheets>
  <externalReferences>
    <externalReference r:id="rId2"/>
  </externalReferences>
  <definedNames>
    <definedName name="Afsluiters_2OD">[1]VA_VR!$C$139:$C$161</definedName>
    <definedName name="Hulprelais">[1]Regelkast!$B$139:$B$140</definedName>
    <definedName name="Lijnen">[1]FTLStd!$F$866:$F$886</definedName>
    <definedName name="Protocollen">[1]FTLStd!$E$866:$E$876</definedName>
    <definedName name="Temperatuursensoren">[1]VA_VR!$C$8:$C$36</definedName>
    <definedName name="Voeding_tracing">[1]Regelkast!$B$89</definedName>
    <definedName name="Warmte_koudemeters">[1]VA_VR!$C$397:$C$408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4" i="1" l="1"/>
  <c r="I43" i="1"/>
  <c r="I42" i="1"/>
  <c r="I41" i="1"/>
  <c r="I40" i="1"/>
  <c r="I39" i="1"/>
  <c r="I38" i="1"/>
  <c r="G36" i="1"/>
  <c r="F36" i="1"/>
  <c r="G35" i="1"/>
  <c r="F35" i="1"/>
  <c r="G34" i="1"/>
  <c r="F34" i="1"/>
  <c r="G33" i="1"/>
  <c r="F33" i="1"/>
  <c r="L28" i="1"/>
  <c r="G25" i="1"/>
  <c r="F25" i="1"/>
  <c r="G24" i="1"/>
  <c r="F24" i="1"/>
  <c r="G23" i="1"/>
  <c r="F23" i="1"/>
  <c r="G22" i="1"/>
  <c r="F22" i="1"/>
  <c r="L17" i="1"/>
  <c r="F14" i="1"/>
  <c r="F13" i="1"/>
  <c r="F12" i="1"/>
  <c r="F11" i="1"/>
  <c r="L6" i="1"/>
  <c r="N2" i="1"/>
  <c r="M2" i="1"/>
  <c r="L2" i="1"/>
  <c r="K2" i="1"/>
  <c r="J2" i="1"/>
  <c r="I2" i="1"/>
  <c r="H2" i="1"/>
  <c r="G2" i="1"/>
  <c r="F2" i="1"/>
  <c r="E2" i="1"/>
  <c r="E1" i="1"/>
</calcChain>
</file>

<file path=xl/sharedStrings.xml><?xml version="1.0" encoding="utf-8"?>
<sst xmlns="http://schemas.openxmlformats.org/spreadsheetml/2006/main" count="189" uniqueCount="63">
  <si>
    <t>Aantal</t>
  </si>
  <si>
    <t>Omschrijving</t>
  </si>
  <si>
    <t>Opmerkingen</t>
  </si>
  <si>
    <t>Veldapparatuur levering Coneco</t>
  </si>
  <si>
    <t>DI</t>
  </si>
  <si>
    <t>DOm</t>
  </si>
  <si>
    <t>DO</t>
  </si>
  <si>
    <t>AI</t>
  </si>
  <si>
    <t>AOm</t>
  </si>
  <si>
    <t>AO</t>
  </si>
  <si>
    <t>IW</t>
  </si>
  <si>
    <t>VW</t>
  </si>
  <si>
    <t>Protocol</t>
  </si>
  <si>
    <t>Poort</t>
  </si>
  <si>
    <t>P</t>
  </si>
  <si>
    <t>U</t>
  </si>
  <si>
    <t>I</t>
  </si>
  <si>
    <t>Naam</t>
  </si>
  <si>
    <t>Datum</t>
  </si>
  <si>
    <t>Nummer</t>
  </si>
  <si>
    <t>KS = Kopie Standaard</t>
  </si>
  <si>
    <t>Veld. levering derden</t>
  </si>
  <si>
    <t>kW</t>
  </si>
  <si>
    <t>V</t>
  </si>
  <si>
    <t>A</t>
  </si>
  <si>
    <t>KM = Kopie Maatwerk</t>
  </si>
  <si>
    <t>Warmtepomp 2-pijps lucht/water</t>
  </si>
  <si>
    <t>Warmtepomp 1</t>
  </si>
  <si>
    <t>Voeding lev. derden</t>
  </si>
  <si>
    <t>Modbus RTU M</t>
  </si>
  <si>
    <t>RS485-1</t>
  </si>
  <si>
    <t xml:space="preserve">Elektrameter warmtepomp </t>
  </si>
  <si>
    <t>Modbus</t>
  </si>
  <si>
    <t>RS485-2</t>
  </si>
  <si>
    <t>Intredewatertemperatuur WP</t>
  </si>
  <si>
    <t>QAE2120.010</t>
  </si>
  <si>
    <t>*1</t>
  </si>
  <si>
    <t>M</t>
  </si>
  <si>
    <t>Uittredewatertemperatuur WP</t>
  </si>
  <si>
    <t xml:space="preserve">Energiemeter WP </t>
  </si>
  <si>
    <t>Levering derden Voorkeur in MWh/kWh</t>
  </si>
  <si>
    <t xml:space="preserve">Smoorafsluiter aanvoer CV WP </t>
  </si>
  <si>
    <t>2-weg DN**</t>
  </si>
  <si>
    <t>SAL81.00T40/ASC10.51/VFW41.80</t>
  </si>
  <si>
    <t>Hulprelais 24V/230VAC</t>
  </si>
  <si>
    <t xml:space="preserve">Smoorafsluiter retour CV WP </t>
  </si>
  <si>
    <t xml:space="preserve">Smoorafsluiter aanvoer GKW WP </t>
  </si>
  <si>
    <t>SAL81.00T40/ASC10.51/VFW41.100</t>
  </si>
  <si>
    <t xml:space="preserve">Smoorafsluiter retour GKW WP </t>
  </si>
  <si>
    <t>Leidingverwarming (tracing)</t>
  </si>
  <si>
    <t>Voeding tracing 230V 10A geschakeld</t>
  </si>
  <si>
    <t>Warmtepomp 2</t>
  </si>
  <si>
    <t>Warmtepomp 3</t>
  </si>
  <si>
    <t>(centrale) Uittredetemp GKW warmtepompen</t>
  </si>
  <si>
    <t>voor buffervat</t>
  </si>
  <si>
    <t>(centrale) Intredetemp GKW warmtepompen</t>
  </si>
  <si>
    <t>na buffervat</t>
  </si>
  <si>
    <t>Temperatuur buffervat GKW boven</t>
  </si>
  <si>
    <t>QAP22/ALT-SB280</t>
  </si>
  <si>
    <t>Temperatuur buffervat GKW midden</t>
  </si>
  <si>
    <t>Temperatuur buffervat GKW onder</t>
  </si>
  <si>
    <t>Aanvoertemperatuur GKW warmtepompen na buffervat</t>
  </si>
  <si>
    <t>Retourtemperatuur GKW warmtepompen voor buffervat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</si>
</sst>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.5"/>
      <name val="Aptos Narrow"/>
      <family val="2"/>
      <scheme val="minor"/>
    </font>
    <font>
      <b/>
      <sz val="12.5"/>
      <name val="Calibri"/>
      <family val="2"/>
    </font>
    <font>
      <sz val="12.5"/>
      <name val="Aptos Narrow"/>
      <family val="2"/>
      <scheme val="minor"/>
    </font>
    <font>
      <sz val="12.5"/>
      <name val="Calibri Light"/>
      <family val="2"/>
    </font>
    <font>
      <sz val="12.5"/>
      <color theme="1"/>
      <name val="Aptos Narrow"/>
      <family val="2"/>
      <scheme val="minor"/>
    </font>
    <font>
      <u/>
      <sz val="12.5"/>
      <color indexed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2" fontId="3" fillId="3" borderId="0" xfId="0" applyNumberFormat="1" applyFont="1" applyFill="1" applyAlignment="1">
      <alignment horizontal="center" wrapText="1"/>
    </xf>
    <xf numFmtId="1" fontId="3" fillId="3" borderId="0" xfId="0" applyNumberFormat="1" applyFont="1" applyFill="1" applyAlignment="1">
      <alignment horizontal="center" wrapText="1"/>
    </xf>
    <xf numFmtId="2" fontId="3" fillId="3" borderId="1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2" fontId="3" fillId="3" borderId="3" xfId="0" applyNumberFormat="1" applyFont="1" applyFill="1" applyBorder="1" applyAlignment="1">
      <alignment horizontal="center" wrapText="1"/>
    </xf>
    <xf numFmtId="1" fontId="3" fillId="3" borderId="4" xfId="0" applyNumberFormat="1" applyFont="1" applyFill="1" applyBorder="1" applyAlignment="1">
      <alignment horizontal="center" wrapText="1"/>
    </xf>
    <xf numFmtId="2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2" fontId="5" fillId="0" borderId="0" xfId="0" applyNumberFormat="1" applyFont="1"/>
    <xf numFmtId="1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Verkoop\V26-xxxx\V26-0701-V26-0800\V26-0724%20Boerhaave%20Leiden%20-%20aanpassing%20warmtepomp\01%20verkooptraject\V26-0724-1A%20Calculatietool%20v6.6%20aar.xlsb" TargetMode="External"/><Relationship Id="rId1" Type="http://schemas.openxmlformats.org/officeDocument/2006/relationships/externalLinkPath" Target="https://digitalworkplaces.sharepoint.com/sites/ERCO-PRJ/Gedeelde%20documenten/03%20-%20Klanten/2026/7275%20Boerhaave%20te%20Leiden/01%20-%20Aanvraag/Coneco/01%20-%20V1/gegevens/00%20IO%20lijst/V26-0724-1A%20Calculatietool%20v6.6%20aa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NR"/>
      <sheetName val="OH"/>
      <sheetName val="Specificatie_uren"/>
      <sheetName val="Verzamelblad"/>
      <sheetName val="OB"/>
      <sheetName val="WB"/>
      <sheetName val="Priva_VR"/>
      <sheetName val="Priva_NR"/>
      <sheetName val="VA_VR"/>
      <sheetName val="VA_NR"/>
      <sheetName val="Regelkast"/>
      <sheetName val="Inbouw_app_RK"/>
      <sheetName val="Services"/>
      <sheetName val="Algemeen"/>
      <sheetName val="Freq_Drives"/>
      <sheetName val="Prijsoverzicht"/>
      <sheetName val="Parameters"/>
      <sheetName val="Vrij_Invulbaar"/>
      <sheetName val="FTLStd"/>
      <sheetName val="NR_Std"/>
      <sheetName val="Logboek"/>
      <sheetName val="UpdateVersla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8">
          <cell r="C8" t="str">
            <v>--------Buiten TT--------</v>
          </cell>
        </row>
        <row r="9">
          <cell r="C9" t="str">
            <v>QAC22</v>
          </cell>
        </row>
        <row r="10">
          <cell r="C10" t="str">
            <v>--------Dompel TT--------</v>
          </cell>
        </row>
        <row r="11">
          <cell r="C11" t="str">
            <v>QAE2120.010</v>
          </cell>
        </row>
        <row r="12">
          <cell r="C12" t="str">
            <v>QAE2120.010/ALT-SS100</v>
          </cell>
        </row>
        <row r="13">
          <cell r="C13" t="str">
            <v>QAE3174D.010 /ALT-SB100</v>
          </cell>
        </row>
        <row r="14">
          <cell r="C14" t="str">
            <v>--------Kabel TT--------</v>
          </cell>
        </row>
        <row r="15">
          <cell r="C15" t="str">
            <v>QAP21.3/ALT-C001/ALT-SS150</v>
          </cell>
        </row>
        <row r="16">
          <cell r="C16" t="str">
            <v>QAP22</v>
          </cell>
        </row>
        <row r="17">
          <cell r="C17" t="str">
            <v>QAP22/ALT-SB280</v>
          </cell>
        </row>
        <row r="18">
          <cell r="C18" t="str">
            <v>--------Aanleg TT--------</v>
          </cell>
        </row>
        <row r="19">
          <cell r="C19" t="str">
            <v>QAD22</v>
          </cell>
        </row>
        <row r="20">
          <cell r="C20" t="str">
            <v>--------Ruimte TT--------</v>
          </cell>
        </row>
        <row r="21">
          <cell r="C21" t="str">
            <v>QAA2120</v>
          </cell>
        </row>
        <row r="22">
          <cell r="C22" t="str">
            <v>QAA64</v>
          </cell>
        </row>
        <row r="23">
          <cell r="C23" t="str">
            <v>QAA27</v>
          </cell>
        </row>
        <row r="24">
          <cell r="C24" t="str">
            <v>QAA2061D</v>
          </cell>
        </row>
        <row r="25">
          <cell r="C25" t="str">
            <v>Beschermkorf QAA..</v>
          </cell>
        </row>
        <row r="26">
          <cell r="C26" t="str">
            <v>--------Kanaal TT--------</v>
          </cell>
        </row>
        <row r="27">
          <cell r="C27" t="str">
            <v>QAM2120.040</v>
          </cell>
        </row>
        <row r="28">
          <cell r="C28" t="str">
            <v>QAM2120.200</v>
          </cell>
        </row>
        <row r="29">
          <cell r="C29" t="str">
            <v>--------Vorstthermostaat--------</v>
          </cell>
        </row>
        <row r="30">
          <cell r="C30" t="str">
            <v>QAF81.3</v>
          </cell>
        </row>
        <row r="31">
          <cell r="C31" t="str">
            <v>QAF81.6</v>
          </cell>
        </row>
        <row r="32">
          <cell r="C32" t="str">
            <v>--------Thermostaat CV/GKW--------</v>
          </cell>
        </row>
        <row r="33">
          <cell r="C33" t="str">
            <v>RAK-TW.1000HB</v>
          </cell>
        </row>
        <row r="34">
          <cell r="C34" t="str">
            <v>RAK-TW.5000S-H</v>
          </cell>
        </row>
        <row r="35">
          <cell r="C35" t="str">
            <v>--------Stromingsschakelaar--------</v>
          </cell>
        </row>
        <row r="36">
          <cell r="C36" t="str">
            <v>QVE1901</v>
          </cell>
        </row>
        <row r="139">
          <cell r="C139" t="str">
            <v>-----Kogelkranen 2-weg | O/D | zonder eindcontact-----</v>
          </cell>
        </row>
        <row r="140">
          <cell r="C140" t="str">
            <v>VAI60.15-15/GSD141.9A</v>
          </cell>
        </row>
        <row r="141">
          <cell r="C141" t="str">
            <v>VAI60.20-22/GSD141.9A</v>
          </cell>
        </row>
        <row r="142">
          <cell r="C142" t="str">
            <v>VAI60.25-22/GSD141.9A</v>
          </cell>
        </row>
        <row r="143">
          <cell r="C143" t="str">
            <v>VAI60.32-35/GLB141.9E</v>
          </cell>
        </row>
        <row r="144">
          <cell r="C144" t="str">
            <v>VAI60.40-68/GLB141.9E</v>
          </cell>
        </row>
        <row r="145">
          <cell r="C145" t="str">
            <v>VAI60.50-96/GLB141.9E</v>
          </cell>
        </row>
        <row r="146">
          <cell r="C146" t="str">
            <v>-----Kogelkranen 2-weg | O/D | met eindcontact-----</v>
          </cell>
        </row>
        <row r="147">
          <cell r="C147" t="str">
            <v>VAI60.15-15/GLB146.1E/ASK77.3</v>
          </cell>
        </row>
        <row r="148">
          <cell r="C148" t="str">
            <v>VAI60.20-22/GLB146.1E/ASK77.3</v>
          </cell>
        </row>
        <row r="149">
          <cell r="C149" t="str">
            <v>VAI60.25-22/GLB146.1E/ASK77.3</v>
          </cell>
        </row>
        <row r="150">
          <cell r="C150" t="str">
            <v>VAI60.32-35/GLB146.1E/ASK77.3</v>
          </cell>
        </row>
        <row r="151">
          <cell r="C151" t="str">
            <v>VAI60.40-68/GLB146.1E/ASK77.3</v>
          </cell>
        </row>
        <row r="152">
          <cell r="C152" t="str">
            <v>VAI60.50-96/GLB146.1E/ASK77.3</v>
          </cell>
        </row>
        <row r="153">
          <cell r="C153" t="str">
            <v>-----Vlinderklep 2-weg | O/D | 100% sluitend-----</v>
          </cell>
        </row>
        <row r="154">
          <cell r="C154" t="str">
            <v>SAL81.00T20/ASC10.51/VFW41.40</v>
          </cell>
        </row>
        <row r="155">
          <cell r="C155" t="str">
            <v>SAL81.00T20/ASC10.51/VFW41.50</v>
          </cell>
        </row>
        <row r="156">
          <cell r="C156" t="str">
            <v>SAL81.00T20/ASC10.51/VFW41.65</v>
          </cell>
        </row>
        <row r="157">
          <cell r="C157" t="str">
            <v>SAL81.00T40/ASC10.51/VFW41.80</v>
          </cell>
        </row>
        <row r="158">
          <cell r="C158" t="str">
            <v>SAL81.00T40/ASC10.51/VFW41.100</v>
          </cell>
        </row>
        <row r="159">
          <cell r="C159" t="str">
            <v>SAL81.00T40/ASC10.51/VFW41.125</v>
          </cell>
        </row>
        <row r="160">
          <cell r="C160" t="str">
            <v>SQL341E100/VFW41.150</v>
          </cell>
        </row>
        <row r="161">
          <cell r="C161" t="str">
            <v>SQL341E100/VFW41.200</v>
          </cell>
        </row>
        <row r="397">
          <cell r="C397" t="str">
            <v>UH50-C05-00</v>
          </cell>
        </row>
        <row r="398">
          <cell r="C398" t="str">
            <v>UH50-C21-00</v>
          </cell>
        </row>
        <row r="399">
          <cell r="C399" t="str">
            <v>UH50-C25-00</v>
          </cell>
        </row>
        <row r="400">
          <cell r="C400" t="str">
            <v>UH50-C36-00</v>
          </cell>
        </row>
        <row r="401">
          <cell r="C401" t="str">
            <v>UH50-C45-00</v>
          </cell>
        </row>
        <row r="402">
          <cell r="C402" t="str">
            <v>UH50-C50-00</v>
          </cell>
        </row>
        <row r="403">
          <cell r="C403" t="str">
            <v>UH50-C60-00</v>
          </cell>
        </row>
        <row r="404">
          <cell r="C404" t="str">
            <v>UH50-C61-00</v>
          </cell>
        </row>
        <row r="405">
          <cell r="C405" t="str">
            <v>UH50-C65-00</v>
          </cell>
        </row>
        <row r="406">
          <cell r="C406" t="str">
            <v>UH50-C70-00</v>
          </cell>
        </row>
        <row r="407">
          <cell r="C407" t="str">
            <v>UH50-C74-00</v>
          </cell>
        </row>
        <row r="408">
          <cell r="C408" t="str">
            <v>UH50-C83-00</v>
          </cell>
        </row>
      </sheetData>
      <sheetData sheetId="21" refreshError="1"/>
      <sheetData sheetId="22" refreshError="1">
        <row r="32">
          <cell r="B32" t="str">
            <v>Overspanningsbeveiliging t/m 63A</v>
          </cell>
        </row>
        <row r="89">
          <cell r="B89" t="str">
            <v>Voeding tracing 230V 10A geschakeld</v>
          </cell>
        </row>
        <row r="139">
          <cell r="B139" t="str">
            <v>Hulprelais 24V/230VAC</v>
          </cell>
        </row>
        <row r="140">
          <cell r="B140" t="str">
            <v>Hulprelais 24V/230VAC goudcontacten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866">
          <cell r="E866" t="str">
            <v>Modbus RTU M</v>
          </cell>
          <cell r="F866" t="str">
            <v>RS485-1</v>
          </cell>
        </row>
        <row r="867">
          <cell r="E867" t="str">
            <v>Modbus RTU S</v>
          </cell>
          <cell r="F867" t="str">
            <v>RS485-2</v>
          </cell>
        </row>
        <row r="868">
          <cell r="E868" t="str">
            <v>BACnet MS/TP</v>
          </cell>
          <cell r="F868" t="str">
            <v>RS485-3</v>
          </cell>
        </row>
        <row r="869">
          <cell r="E869" t="str">
            <v>KNX</v>
          </cell>
          <cell r="F869" t="str">
            <v>RS485-4</v>
          </cell>
        </row>
        <row r="870">
          <cell r="E870" t="str">
            <v>Mbus</v>
          </cell>
          <cell r="F870" t="str">
            <v>RS485-5</v>
          </cell>
        </row>
        <row r="871">
          <cell r="E871" t="str">
            <v>BACnet IP Client</v>
          </cell>
          <cell r="F871" t="str">
            <v>RS485-6</v>
          </cell>
        </row>
        <row r="872">
          <cell r="E872" t="str">
            <v>Modbus IP Client</v>
          </cell>
          <cell r="F872" t="str">
            <v>RS485-7</v>
          </cell>
        </row>
        <row r="873">
          <cell r="E873" t="str">
            <v>Modbus IP Server</v>
          </cell>
          <cell r="F873" t="str">
            <v>RS485-8</v>
          </cell>
        </row>
        <row r="874">
          <cell r="E874" t="str">
            <v>Genibus</v>
          </cell>
          <cell r="F874" t="str">
            <v>RS485-9</v>
          </cell>
        </row>
        <row r="875">
          <cell r="E875" t="str">
            <v>Wilo</v>
          </cell>
          <cell r="F875" t="str">
            <v>RS485-10</v>
          </cell>
        </row>
        <row r="876">
          <cell r="E876" t="str">
            <v>Comforte CX</v>
          </cell>
          <cell r="F876" t="str">
            <v>RS232-1</v>
          </cell>
        </row>
        <row r="877">
          <cell r="F877" t="str">
            <v>RS232-2</v>
          </cell>
        </row>
        <row r="878">
          <cell r="F878" t="str">
            <v>RS232-3</v>
          </cell>
        </row>
        <row r="879">
          <cell r="F879" t="str">
            <v>RS232-4</v>
          </cell>
        </row>
        <row r="880">
          <cell r="F880" t="str">
            <v>RS232-5</v>
          </cell>
        </row>
        <row r="881">
          <cell r="F881" t="str">
            <v>RS232-6</v>
          </cell>
        </row>
        <row r="882">
          <cell r="F882" t="str">
            <v>RS232-7</v>
          </cell>
        </row>
        <row r="883">
          <cell r="F883" t="str">
            <v>RS232-8</v>
          </cell>
        </row>
        <row r="884">
          <cell r="F884" t="str">
            <v>RS232-9</v>
          </cell>
        </row>
        <row r="885">
          <cell r="F885" t="str">
            <v>RS232-10</v>
          </cell>
        </row>
        <row r="886">
          <cell r="F886" t="str">
            <v>IP</v>
          </cell>
        </row>
      </sheetData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5998-35A8-4EB8-80E0-668E41F5FCCC}">
  <dimension ref="A1:V44"/>
  <sheetViews>
    <sheetView tabSelected="1" workbookViewId="0">
      <selection activeCell="AP24" sqref="AP24"/>
    </sheetView>
  </sheetViews>
  <sheetFormatPr defaultRowHeight="15" x14ac:dyDescent="0.25"/>
  <sheetData>
    <row r="1" spans="1:22" ht="34.5" x14ac:dyDescent="0.3">
      <c r="A1" s="1" t="s">
        <v>0</v>
      </c>
      <c r="B1" s="1" t="s">
        <v>1</v>
      </c>
      <c r="C1" s="2" t="s">
        <v>2</v>
      </c>
      <c r="D1" s="2" t="s">
        <v>3</v>
      </c>
      <c r="E1" s="1" t="e">
        <f>"Regelkast" &amp; IF(OR([1]Specificatie_uren!N3="Nieuwbouw",[1]Specificatie_uren!N3="Vervanging"), " (h x b x d)",)</f>
        <v>#REF!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6" t="s">
        <v>15</v>
      </c>
      <c r="R1" s="7" t="s">
        <v>16</v>
      </c>
      <c r="S1" s="8" t="s">
        <v>17</v>
      </c>
      <c r="T1" s="9" t="s">
        <v>18</v>
      </c>
      <c r="U1" s="10" t="s">
        <v>19</v>
      </c>
      <c r="V1" s="11" t="s">
        <v>20</v>
      </c>
    </row>
    <row r="2" spans="1:22" ht="17.25" x14ac:dyDescent="0.3">
      <c r="A2" s="12"/>
      <c r="B2" s="12"/>
      <c r="C2" s="13" t="s">
        <v>21</v>
      </c>
      <c r="D2" s="14"/>
      <c r="E2" s="12" t="e">
        <f>IF([1]Specificatie_uren!N75=1,[1]Regelkast!R283,)</f>
        <v>#REF!</v>
      </c>
      <c r="F2" s="15" t="e">
        <f t="shared" ref="F2:M2" si="0">SUM(F3:F1002)</f>
        <v>#VALUE!</v>
      </c>
      <c r="G2" s="15" t="e">
        <f t="shared" si="0"/>
        <v>#VALUE!</v>
      </c>
      <c r="H2" s="15">
        <f t="shared" si="0"/>
        <v>0</v>
      </c>
      <c r="I2" s="15" t="e">
        <f t="shared" si="0"/>
        <v>#VALUE!</v>
      </c>
      <c r="J2" s="15">
        <f t="shared" si="0"/>
        <v>0</v>
      </c>
      <c r="K2" s="15">
        <f t="shared" si="0"/>
        <v>0</v>
      </c>
      <c r="L2" s="15">
        <f t="shared" si="0"/>
        <v>75</v>
      </c>
      <c r="M2" s="15">
        <f t="shared" si="0"/>
        <v>21</v>
      </c>
      <c r="N2" s="15">
        <f>SUM(N3:N1068)</f>
        <v>0</v>
      </c>
      <c r="O2" s="16"/>
      <c r="P2" s="17" t="s">
        <v>22</v>
      </c>
      <c r="Q2" s="18" t="s">
        <v>23</v>
      </c>
      <c r="R2" s="19" t="s">
        <v>24</v>
      </c>
      <c r="S2" s="20"/>
      <c r="T2" s="20"/>
      <c r="U2" s="20"/>
      <c r="V2" s="11" t="s">
        <v>25</v>
      </c>
    </row>
    <row r="3" spans="1:22" ht="17.25" x14ac:dyDescent="0.3">
      <c r="A3" s="21"/>
      <c r="B3" s="21"/>
      <c r="C3" s="21"/>
      <c r="D3" s="22"/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  <c r="Q3" s="25"/>
      <c r="R3" s="24"/>
      <c r="S3" s="23"/>
      <c r="T3" s="23"/>
      <c r="U3" s="23"/>
      <c r="V3" s="23"/>
    </row>
    <row r="4" spans="1:22" ht="17.25" x14ac:dyDescent="0.3">
      <c r="A4" s="26"/>
      <c r="B4" s="27" t="s">
        <v>26</v>
      </c>
      <c r="C4" s="28"/>
      <c r="D4" s="28"/>
      <c r="E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5"/>
      <c r="R4" s="29"/>
      <c r="S4" s="22"/>
      <c r="T4" s="22"/>
      <c r="U4" s="22"/>
      <c r="V4" s="23"/>
    </row>
    <row r="5" spans="1:22" ht="17.25" x14ac:dyDescent="0.3">
      <c r="A5" s="30">
        <v>1</v>
      </c>
      <c r="B5" s="21" t="s">
        <v>27</v>
      </c>
      <c r="C5" s="21" t="s">
        <v>28</v>
      </c>
      <c r="D5" s="28"/>
      <c r="E5" s="22"/>
      <c r="F5" s="23"/>
      <c r="G5" s="23"/>
      <c r="H5" s="23"/>
      <c r="I5" s="23"/>
      <c r="J5" s="23"/>
      <c r="K5" s="23"/>
      <c r="L5" s="23">
        <v>20</v>
      </c>
      <c r="M5" s="23">
        <v>7</v>
      </c>
      <c r="N5" s="23" t="s">
        <v>29</v>
      </c>
      <c r="O5" s="23" t="s">
        <v>30</v>
      </c>
      <c r="P5" s="24"/>
      <c r="Q5" s="25"/>
      <c r="R5" s="29"/>
      <c r="S5" s="22"/>
      <c r="T5" s="22"/>
      <c r="U5" s="22"/>
      <c r="V5" s="23"/>
    </row>
    <row r="6" spans="1:22" ht="17.25" x14ac:dyDescent="0.3">
      <c r="A6" s="30">
        <v>1</v>
      </c>
      <c r="B6" s="21" t="s">
        <v>31</v>
      </c>
      <c r="C6" s="21" t="s">
        <v>32</v>
      </c>
      <c r="D6" s="22"/>
      <c r="E6" s="22"/>
      <c r="F6" s="23"/>
      <c r="G6" s="23"/>
      <c r="H6" s="23"/>
      <c r="I6" s="23"/>
      <c r="J6" s="23"/>
      <c r="K6" s="23"/>
      <c r="L6" s="23">
        <f>ROUND($D6*2,)</f>
        <v>0</v>
      </c>
      <c r="M6" s="23"/>
      <c r="N6" s="23" t="s">
        <v>29</v>
      </c>
      <c r="O6" s="23" t="s">
        <v>33</v>
      </c>
      <c r="P6" s="24"/>
      <c r="Q6" s="25"/>
      <c r="R6" s="29"/>
      <c r="S6" s="22"/>
      <c r="T6" s="22"/>
      <c r="U6" s="22"/>
      <c r="V6" s="23"/>
    </row>
    <row r="7" spans="1:22" ht="17.25" x14ac:dyDescent="0.3">
      <c r="A7" s="30">
        <v>1</v>
      </c>
      <c r="B7" s="21" t="s">
        <v>34</v>
      </c>
      <c r="C7" s="21"/>
      <c r="D7" s="22" t="s">
        <v>35</v>
      </c>
      <c r="E7" s="22"/>
      <c r="F7" s="23"/>
      <c r="G7" s="23"/>
      <c r="H7" s="23"/>
      <c r="I7" s="23" t="s">
        <v>36</v>
      </c>
      <c r="J7" s="23"/>
      <c r="K7" s="23"/>
      <c r="L7" s="23"/>
      <c r="M7" s="23"/>
      <c r="N7" s="23"/>
      <c r="O7" s="23"/>
      <c r="P7" s="24"/>
      <c r="Q7" s="25"/>
      <c r="R7" s="29"/>
      <c r="S7" s="22"/>
      <c r="T7" s="22"/>
      <c r="U7" s="22"/>
      <c r="V7" s="23" t="s">
        <v>37</v>
      </c>
    </row>
    <row r="8" spans="1:22" ht="17.25" x14ac:dyDescent="0.3">
      <c r="A8" s="30">
        <v>1</v>
      </c>
      <c r="B8" s="21" t="s">
        <v>38</v>
      </c>
      <c r="C8" s="21"/>
      <c r="D8" s="22" t="s">
        <v>35</v>
      </c>
      <c r="E8" s="22"/>
      <c r="F8" s="23"/>
      <c r="G8" s="23"/>
      <c r="H8" s="23"/>
      <c r="I8" s="23" t="s">
        <v>36</v>
      </c>
      <c r="J8" s="23"/>
      <c r="K8" s="23"/>
      <c r="L8" s="23"/>
      <c r="M8" s="23"/>
      <c r="N8" s="23"/>
      <c r="O8" s="23"/>
      <c r="P8" s="24"/>
      <c r="Q8" s="25"/>
      <c r="R8" s="29"/>
      <c r="S8" s="22"/>
      <c r="T8" s="22"/>
      <c r="U8" s="22"/>
      <c r="V8" s="23" t="s">
        <v>37</v>
      </c>
    </row>
    <row r="9" spans="1:22" ht="17.25" x14ac:dyDescent="0.3">
      <c r="A9" s="30">
        <v>1</v>
      </c>
      <c r="B9" s="21" t="s">
        <v>39</v>
      </c>
      <c r="C9" s="21" t="s">
        <v>40</v>
      </c>
      <c r="D9" s="22"/>
      <c r="E9" s="22"/>
      <c r="F9" s="23"/>
      <c r="G9" s="23"/>
      <c r="H9" s="23"/>
      <c r="I9" s="23"/>
      <c r="J9" s="23"/>
      <c r="K9" s="23"/>
      <c r="L9" s="23">
        <v>5</v>
      </c>
      <c r="M9" s="23"/>
      <c r="N9" s="23" t="s">
        <v>29</v>
      </c>
      <c r="O9" s="23" t="s">
        <v>33</v>
      </c>
      <c r="P9" s="24"/>
      <c r="Q9" s="25"/>
      <c r="R9" s="29"/>
      <c r="S9" s="22"/>
      <c r="T9" s="22"/>
      <c r="U9" s="22"/>
      <c r="V9" s="23"/>
    </row>
    <row r="10" spans="1:22" ht="17.25" x14ac:dyDescent="0.3">
      <c r="A10" s="30">
        <v>1</v>
      </c>
      <c r="B10" s="21" t="s">
        <v>41</v>
      </c>
      <c r="C10" s="21" t="s">
        <v>42</v>
      </c>
      <c r="D10" s="22" t="s">
        <v>43</v>
      </c>
      <c r="E10" s="22" t="s">
        <v>44</v>
      </c>
      <c r="F10" s="23" t="s">
        <v>36</v>
      </c>
      <c r="G10" s="23" t="s">
        <v>36</v>
      </c>
      <c r="H10" s="26"/>
      <c r="I10" s="23"/>
      <c r="J10" s="23"/>
      <c r="K10" s="23"/>
      <c r="L10" s="23"/>
      <c r="M10" s="23"/>
      <c r="N10" s="23"/>
      <c r="O10" s="23"/>
      <c r="P10" s="24"/>
      <c r="Q10" s="25"/>
      <c r="R10" s="29"/>
      <c r="S10" s="22"/>
      <c r="T10" s="22"/>
      <c r="U10" s="22"/>
      <c r="V10" s="23" t="s">
        <v>37</v>
      </c>
    </row>
    <row r="11" spans="1:22" ht="17.25" x14ac:dyDescent="0.3">
      <c r="A11" s="30">
        <v>1</v>
      </c>
      <c r="B11" s="21" t="s">
        <v>45</v>
      </c>
      <c r="C11" s="21" t="s">
        <v>42</v>
      </c>
      <c r="D11" s="22" t="s">
        <v>43</v>
      </c>
      <c r="E11" s="22" t="s">
        <v>44</v>
      </c>
      <c r="F11" s="23" t="e">
        <f>ROUND($D11*1,)</f>
        <v>#VALUE!</v>
      </c>
      <c r="G11" s="23" t="s">
        <v>36</v>
      </c>
      <c r="H11" s="26"/>
      <c r="I11" s="23"/>
      <c r="J11" s="23"/>
      <c r="K11" s="23"/>
      <c r="L11" s="23"/>
      <c r="M11" s="23"/>
      <c r="N11" s="23"/>
      <c r="O11" s="23"/>
      <c r="P11" s="24"/>
      <c r="Q11" s="25"/>
      <c r="R11" s="29"/>
      <c r="S11" s="22"/>
      <c r="T11" s="22"/>
      <c r="U11" s="22"/>
      <c r="V11" s="23" t="s">
        <v>37</v>
      </c>
    </row>
    <row r="12" spans="1:22" ht="17.25" x14ac:dyDescent="0.3">
      <c r="A12" s="30">
        <v>1</v>
      </c>
      <c r="B12" s="21" t="s">
        <v>46</v>
      </c>
      <c r="C12" s="21" t="s">
        <v>42</v>
      </c>
      <c r="D12" s="22" t="s">
        <v>47</v>
      </c>
      <c r="E12" s="22" t="s">
        <v>44</v>
      </c>
      <c r="F12" s="23" t="e">
        <f>ROUND($D12*1,)</f>
        <v>#VALUE!</v>
      </c>
      <c r="G12" s="23" t="s">
        <v>36</v>
      </c>
      <c r="H12" s="26"/>
      <c r="I12" s="23"/>
      <c r="J12" s="23"/>
      <c r="K12" s="23"/>
      <c r="L12" s="23"/>
      <c r="M12" s="23"/>
      <c r="N12" s="23"/>
      <c r="O12" s="23"/>
      <c r="P12" s="24"/>
      <c r="Q12" s="25"/>
      <c r="R12" s="29"/>
      <c r="S12" s="22"/>
      <c r="T12" s="22"/>
      <c r="U12" s="22"/>
      <c r="V12" s="23" t="s">
        <v>37</v>
      </c>
    </row>
    <row r="13" spans="1:22" ht="17.25" x14ac:dyDescent="0.3">
      <c r="A13" s="26">
        <v>1</v>
      </c>
      <c r="B13" s="22" t="s">
        <v>48</v>
      </c>
      <c r="C13" s="21" t="s">
        <v>42</v>
      </c>
      <c r="D13" s="22" t="s">
        <v>47</v>
      </c>
      <c r="E13" s="22" t="s">
        <v>44</v>
      </c>
      <c r="F13" s="23" t="e">
        <f>ROUND($D13*1,)</f>
        <v>#VALUE!</v>
      </c>
      <c r="G13" s="23" t="s">
        <v>36</v>
      </c>
      <c r="H13" s="26"/>
      <c r="I13" s="23"/>
      <c r="J13" s="23"/>
      <c r="K13" s="23"/>
      <c r="L13" s="23"/>
      <c r="M13" s="23"/>
      <c r="N13" s="23"/>
      <c r="O13" s="23"/>
      <c r="P13" s="24"/>
      <c r="Q13" s="25"/>
      <c r="R13" s="29"/>
      <c r="S13" s="22"/>
      <c r="T13" s="22"/>
      <c r="U13" s="22"/>
      <c r="V13" s="23" t="s">
        <v>37</v>
      </c>
    </row>
    <row r="14" spans="1:22" ht="17.25" x14ac:dyDescent="0.3">
      <c r="A14" s="30">
        <v>1</v>
      </c>
      <c r="B14" s="21" t="s">
        <v>49</v>
      </c>
      <c r="C14" s="21"/>
      <c r="D14" s="28"/>
      <c r="E14" s="21" t="s">
        <v>50</v>
      </c>
      <c r="F14" s="23">
        <f>ROUND($D14*1,)</f>
        <v>0</v>
      </c>
      <c r="G14" s="23" t="s">
        <v>36</v>
      </c>
      <c r="H14" s="23"/>
      <c r="I14" s="23"/>
      <c r="J14" s="23"/>
      <c r="K14" s="23"/>
      <c r="L14" s="23"/>
      <c r="M14" s="23"/>
      <c r="N14" s="23"/>
      <c r="O14" s="23"/>
      <c r="P14" s="24"/>
      <c r="Q14" s="25">
        <v>230</v>
      </c>
      <c r="R14" s="24">
        <v>10</v>
      </c>
      <c r="S14" s="22"/>
      <c r="T14" s="22"/>
      <c r="U14" s="22"/>
      <c r="V14" s="23" t="s">
        <v>37</v>
      </c>
    </row>
    <row r="15" spans="1:22" ht="17.25" x14ac:dyDescent="0.3">
      <c r="A15" s="30"/>
      <c r="B15" s="21"/>
      <c r="C15" s="21"/>
      <c r="D15" s="28"/>
      <c r="E15" s="22"/>
      <c r="F15" s="23"/>
      <c r="G15" s="23"/>
      <c r="H15" s="26"/>
      <c r="I15" s="23"/>
      <c r="J15" s="23"/>
      <c r="K15" s="23"/>
      <c r="L15" s="23"/>
      <c r="M15" s="23"/>
      <c r="N15" s="23"/>
      <c r="O15" s="23"/>
      <c r="P15" s="24"/>
      <c r="Q15" s="25"/>
      <c r="R15" s="29"/>
      <c r="S15" s="22"/>
      <c r="T15" s="22"/>
      <c r="U15" s="22"/>
      <c r="V15" s="23"/>
    </row>
    <row r="16" spans="1:22" ht="17.25" x14ac:dyDescent="0.3">
      <c r="A16" s="30">
        <v>1</v>
      </c>
      <c r="B16" s="21" t="s">
        <v>51</v>
      </c>
      <c r="C16" s="21" t="s">
        <v>28</v>
      </c>
      <c r="D16" s="28"/>
      <c r="E16" s="22"/>
      <c r="F16" s="23"/>
      <c r="G16" s="23"/>
      <c r="H16" s="23"/>
      <c r="I16" s="23"/>
      <c r="J16" s="23"/>
      <c r="K16" s="23"/>
      <c r="L16" s="23">
        <v>20</v>
      </c>
      <c r="M16" s="23">
        <v>7</v>
      </c>
      <c r="N16" s="23" t="s">
        <v>29</v>
      </c>
      <c r="O16" s="23" t="s">
        <v>30</v>
      </c>
      <c r="P16" s="24"/>
      <c r="Q16" s="25"/>
      <c r="R16" s="29"/>
      <c r="S16" s="22"/>
      <c r="T16" s="22"/>
      <c r="U16" s="22"/>
      <c r="V16" s="23"/>
    </row>
    <row r="17" spans="1:22" ht="17.25" x14ac:dyDescent="0.3">
      <c r="A17" s="30">
        <v>1</v>
      </c>
      <c r="B17" s="21" t="s">
        <v>31</v>
      </c>
      <c r="C17" s="21" t="s">
        <v>32</v>
      </c>
      <c r="D17" s="22"/>
      <c r="E17" s="22"/>
      <c r="F17" s="23"/>
      <c r="G17" s="23"/>
      <c r="H17" s="23"/>
      <c r="I17" s="23"/>
      <c r="J17" s="23"/>
      <c r="K17" s="23"/>
      <c r="L17" s="23">
        <f>ROUND($D17*2,)</f>
        <v>0</v>
      </c>
      <c r="M17" s="23"/>
      <c r="N17" s="23" t="s">
        <v>29</v>
      </c>
      <c r="O17" s="23" t="s">
        <v>33</v>
      </c>
      <c r="P17" s="24"/>
      <c r="Q17" s="25"/>
      <c r="R17" s="29"/>
      <c r="S17" s="22"/>
      <c r="T17" s="22"/>
      <c r="U17" s="22"/>
      <c r="V17" s="23"/>
    </row>
    <row r="18" spans="1:22" ht="17.25" x14ac:dyDescent="0.3">
      <c r="A18" s="30">
        <v>1</v>
      </c>
      <c r="B18" s="21" t="s">
        <v>34</v>
      </c>
      <c r="C18" s="21"/>
      <c r="D18" s="22" t="s">
        <v>35</v>
      </c>
      <c r="E18" s="22"/>
      <c r="F18" s="23"/>
      <c r="G18" s="23"/>
      <c r="H18" s="23"/>
      <c r="I18" s="23" t="s">
        <v>36</v>
      </c>
      <c r="J18" s="23"/>
      <c r="K18" s="23"/>
      <c r="L18" s="23"/>
      <c r="M18" s="23"/>
      <c r="N18" s="23"/>
      <c r="O18" s="23"/>
      <c r="P18" s="24"/>
      <c r="Q18" s="25"/>
      <c r="R18" s="29"/>
      <c r="S18" s="22"/>
      <c r="T18" s="22"/>
      <c r="U18" s="22"/>
      <c r="V18" s="23" t="s">
        <v>37</v>
      </c>
    </row>
    <row r="19" spans="1:22" ht="17.25" x14ac:dyDescent="0.3">
      <c r="A19" s="30">
        <v>1</v>
      </c>
      <c r="B19" s="21" t="s">
        <v>38</v>
      </c>
      <c r="C19" s="21"/>
      <c r="D19" s="22" t="s">
        <v>35</v>
      </c>
      <c r="E19" s="22"/>
      <c r="F19" s="23"/>
      <c r="G19" s="23"/>
      <c r="H19" s="23"/>
      <c r="I19" s="23" t="s">
        <v>36</v>
      </c>
      <c r="J19" s="23"/>
      <c r="K19" s="23"/>
      <c r="L19" s="23"/>
      <c r="M19" s="23"/>
      <c r="N19" s="23"/>
      <c r="O19" s="23"/>
      <c r="P19" s="24"/>
      <c r="Q19" s="25"/>
      <c r="R19" s="29"/>
      <c r="S19" s="22"/>
      <c r="T19" s="22"/>
      <c r="U19" s="22"/>
      <c r="V19" s="23" t="s">
        <v>37</v>
      </c>
    </row>
    <row r="20" spans="1:22" ht="17.25" x14ac:dyDescent="0.3">
      <c r="A20" s="30">
        <v>1</v>
      </c>
      <c r="B20" s="21" t="s">
        <v>39</v>
      </c>
      <c r="C20" s="21" t="s">
        <v>40</v>
      </c>
      <c r="D20" s="22"/>
      <c r="E20" s="22"/>
      <c r="F20" s="23"/>
      <c r="G20" s="23"/>
      <c r="H20" s="23"/>
      <c r="I20" s="23"/>
      <c r="J20" s="23"/>
      <c r="K20" s="23"/>
      <c r="L20" s="23">
        <v>5</v>
      </c>
      <c r="M20" s="23"/>
      <c r="N20" s="23" t="s">
        <v>29</v>
      </c>
      <c r="O20" s="23" t="s">
        <v>33</v>
      </c>
      <c r="P20" s="24"/>
      <c r="Q20" s="25"/>
      <c r="R20" s="29"/>
      <c r="S20" s="22"/>
      <c r="T20" s="22"/>
      <c r="U20" s="22"/>
      <c r="V20" s="23"/>
    </row>
    <row r="21" spans="1:22" ht="17.25" x14ac:dyDescent="0.3">
      <c r="A21" s="30">
        <v>1</v>
      </c>
      <c r="B21" s="21" t="s">
        <v>41</v>
      </c>
      <c r="C21" s="21" t="s">
        <v>42</v>
      </c>
      <c r="D21" s="22" t="s">
        <v>43</v>
      </c>
      <c r="E21" s="22" t="s">
        <v>44</v>
      </c>
      <c r="F21" s="23" t="s">
        <v>36</v>
      </c>
      <c r="G21" s="23" t="s">
        <v>36</v>
      </c>
      <c r="H21" s="26"/>
      <c r="I21" s="23"/>
      <c r="J21" s="23"/>
      <c r="K21" s="23"/>
      <c r="L21" s="23"/>
      <c r="M21" s="23"/>
      <c r="N21" s="23"/>
      <c r="O21" s="23"/>
      <c r="P21" s="24"/>
      <c r="Q21" s="25"/>
      <c r="R21" s="29"/>
      <c r="S21" s="22"/>
      <c r="T21" s="22"/>
      <c r="U21" s="22"/>
      <c r="V21" s="23" t="s">
        <v>37</v>
      </c>
    </row>
    <row r="22" spans="1:22" ht="17.25" x14ac:dyDescent="0.3">
      <c r="A22" s="30">
        <v>1</v>
      </c>
      <c r="B22" s="21" t="s">
        <v>45</v>
      </c>
      <c r="C22" s="21" t="s">
        <v>42</v>
      </c>
      <c r="D22" s="22" t="s">
        <v>43</v>
      </c>
      <c r="E22" s="22" t="s">
        <v>44</v>
      </c>
      <c r="F22" s="23" t="e">
        <f t="shared" ref="F22:G24" si="1">ROUND($D22*1,)</f>
        <v>#VALUE!</v>
      </c>
      <c r="G22" s="23" t="e">
        <f t="shared" si="1"/>
        <v>#VALUE!</v>
      </c>
      <c r="H22" s="26"/>
      <c r="I22" s="23"/>
      <c r="J22" s="23"/>
      <c r="K22" s="23"/>
      <c r="L22" s="23"/>
      <c r="M22" s="23"/>
      <c r="N22" s="23"/>
      <c r="O22" s="23"/>
      <c r="P22" s="24"/>
      <c r="Q22" s="25"/>
      <c r="R22" s="29"/>
      <c r="S22" s="22"/>
      <c r="T22" s="22"/>
      <c r="U22" s="22"/>
      <c r="V22" s="23" t="s">
        <v>37</v>
      </c>
    </row>
    <row r="23" spans="1:22" ht="17.25" x14ac:dyDescent="0.3">
      <c r="A23" s="30">
        <v>1</v>
      </c>
      <c r="B23" s="21" t="s">
        <v>46</v>
      </c>
      <c r="C23" s="21" t="s">
        <v>42</v>
      </c>
      <c r="D23" s="22" t="s">
        <v>47</v>
      </c>
      <c r="E23" s="22" t="s">
        <v>44</v>
      </c>
      <c r="F23" s="23" t="e">
        <f t="shared" si="1"/>
        <v>#VALUE!</v>
      </c>
      <c r="G23" s="23" t="e">
        <f t="shared" si="1"/>
        <v>#VALUE!</v>
      </c>
      <c r="H23" s="26"/>
      <c r="I23" s="23"/>
      <c r="J23" s="23"/>
      <c r="K23" s="23"/>
      <c r="L23" s="23"/>
      <c r="M23" s="23"/>
      <c r="N23" s="23"/>
      <c r="O23" s="23"/>
      <c r="P23" s="24"/>
      <c r="Q23" s="25"/>
      <c r="R23" s="29"/>
      <c r="S23" s="22"/>
      <c r="T23" s="22"/>
      <c r="U23" s="22"/>
      <c r="V23" s="23" t="s">
        <v>37</v>
      </c>
    </row>
    <row r="24" spans="1:22" ht="17.25" x14ac:dyDescent="0.3">
      <c r="A24" s="26">
        <v>1</v>
      </c>
      <c r="B24" s="22" t="s">
        <v>48</v>
      </c>
      <c r="C24" s="21" t="s">
        <v>42</v>
      </c>
      <c r="D24" s="22" t="s">
        <v>47</v>
      </c>
      <c r="E24" s="22" t="s">
        <v>44</v>
      </c>
      <c r="F24" s="23" t="e">
        <f t="shared" si="1"/>
        <v>#VALUE!</v>
      </c>
      <c r="G24" s="23" t="e">
        <f t="shared" si="1"/>
        <v>#VALUE!</v>
      </c>
      <c r="H24" s="26"/>
      <c r="I24" s="23"/>
      <c r="J24" s="23"/>
      <c r="K24" s="23"/>
      <c r="L24" s="23"/>
      <c r="M24" s="23"/>
      <c r="N24" s="23"/>
      <c r="O24" s="23"/>
      <c r="P24" s="24"/>
      <c r="Q24" s="25"/>
      <c r="R24" s="29"/>
      <c r="S24" s="22"/>
      <c r="T24" s="22"/>
      <c r="U24" s="22"/>
      <c r="V24" s="23" t="s">
        <v>37</v>
      </c>
    </row>
    <row r="25" spans="1:22" ht="17.25" x14ac:dyDescent="0.3">
      <c r="A25" s="30">
        <v>1</v>
      </c>
      <c r="B25" s="21" t="s">
        <v>49</v>
      </c>
      <c r="C25" s="21"/>
      <c r="D25" s="28"/>
      <c r="E25" s="21" t="s">
        <v>50</v>
      </c>
      <c r="F25" s="23">
        <f>ROUND($D25*1,)</f>
        <v>0</v>
      </c>
      <c r="G25" s="23">
        <f>ROUND($D25*1,)</f>
        <v>0</v>
      </c>
      <c r="H25" s="23"/>
      <c r="I25" s="23"/>
      <c r="J25" s="23"/>
      <c r="K25" s="23"/>
      <c r="L25" s="23"/>
      <c r="M25" s="23"/>
      <c r="N25" s="23"/>
      <c r="O25" s="23"/>
      <c r="P25" s="24"/>
      <c r="Q25" s="25">
        <v>230</v>
      </c>
      <c r="R25" s="24">
        <v>10</v>
      </c>
      <c r="S25" s="22"/>
      <c r="T25" s="22"/>
      <c r="U25" s="22"/>
      <c r="V25" s="23" t="s">
        <v>37</v>
      </c>
    </row>
    <row r="26" spans="1:22" ht="17.25" x14ac:dyDescent="0.3">
      <c r="A26" s="30"/>
      <c r="B26" s="21"/>
      <c r="C26" s="21"/>
      <c r="D26" s="28"/>
      <c r="E26" s="22"/>
      <c r="F26" s="23"/>
      <c r="G26" s="23"/>
      <c r="H26" s="26"/>
      <c r="I26" s="23"/>
      <c r="J26" s="23"/>
      <c r="K26" s="23"/>
      <c r="L26" s="23"/>
      <c r="M26" s="23"/>
      <c r="N26" s="23"/>
      <c r="O26" s="23"/>
      <c r="P26" s="24"/>
      <c r="Q26" s="25"/>
      <c r="R26" s="29"/>
      <c r="S26" s="22"/>
      <c r="T26" s="22"/>
      <c r="U26" s="22"/>
      <c r="V26" s="23"/>
    </row>
    <row r="27" spans="1:22" ht="17.25" x14ac:dyDescent="0.3">
      <c r="A27" s="30">
        <v>1</v>
      </c>
      <c r="B27" s="21" t="s">
        <v>52</v>
      </c>
      <c r="C27" s="21" t="s">
        <v>28</v>
      </c>
      <c r="D27" s="28"/>
      <c r="E27" s="22"/>
      <c r="F27" s="23"/>
      <c r="G27" s="23"/>
      <c r="H27" s="23"/>
      <c r="I27" s="23"/>
      <c r="J27" s="23"/>
      <c r="K27" s="23"/>
      <c r="L27" s="23">
        <v>20</v>
      </c>
      <c r="M27" s="23">
        <v>7</v>
      </c>
      <c r="N27" s="23" t="s">
        <v>29</v>
      </c>
      <c r="O27" s="23" t="s">
        <v>30</v>
      </c>
      <c r="P27" s="24"/>
      <c r="Q27" s="25"/>
      <c r="R27" s="29"/>
      <c r="S27" s="22"/>
      <c r="T27" s="22"/>
      <c r="U27" s="22"/>
      <c r="V27" s="23"/>
    </row>
    <row r="28" spans="1:22" ht="17.25" x14ac:dyDescent="0.3">
      <c r="A28" s="30">
        <v>1</v>
      </c>
      <c r="B28" s="21" t="s">
        <v>31</v>
      </c>
      <c r="C28" s="21" t="s">
        <v>32</v>
      </c>
      <c r="D28" s="22"/>
      <c r="E28" s="22"/>
      <c r="F28" s="23"/>
      <c r="G28" s="23"/>
      <c r="H28" s="23"/>
      <c r="I28" s="23"/>
      <c r="J28" s="23"/>
      <c r="K28" s="23"/>
      <c r="L28" s="23">
        <f>ROUND($D28*2,)</f>
        <v>0</v>
      </c>
      <c r="M28" s="23"/>
      <c r="N28" s="23" t="s">
        <v>29</v>
      </c>
      <c r="O28" s="23" t="s">
        <v>33</v>
      </c>
      <c r="P28" s="24"/>
      <c r="Q28" s="25"/>
      <c r="R28" s="29"/>
      <c r="S28" s="22"/>
      <c r="T28" s="22"/>
      <c r="U28" s="22"/>
      <c r="V28" s="23"/>
    </row>
    <row r="29" spans="1:22" ht="17.25" x14ac:dyDescent="0.3">
      <c r="A29" s="30">
        <v>1</v>
      </c>
      <c r="B29" s="21" t="s">
        <v>34</v>
      </c>
      <c r="C29" s="21"/>
      <c r="D29" s="22" t="s">
        <v>35</v>
      </c>
      <c r="E29" s="22"/>
      <c r="F29" s="23"/>
      <c r="G29" s="23"/>
      <c r="H29" s="23"/>
      <c r="I29" s="23" t="s">
        <v>36</v>
      </c>
      <c r="J29" s="23"/>
      <c r="K29" s="23"/>
      <c r="L29" s="23"/>
      <c r="M29" s="23"/>
      <c r="N29" s="23"/>
      <c r="O29" s="23"/>
      <c r="P29" s="24"/>
      <c r="Q29" s="25"/>
      <c r="R29" s="29"/>
      <c r="S29" s="22"/>
      <c r="T29" s="22"/>
      <c r="U29" s="22"/>
      <c r="V29" s="23" t="s">
        <v>37</v>
      </c>
    </row>
    <row r="30" spans="1:22" ht="17.25" x14ac:dyDescent="0.3">
      <c r="A30" s="30">
        <v>1</v>
      </c>
      <c r="B30" s="21" t="s">
        <v>38</v>
      </c>
      <c r="C30" s="21"/>
      <c r="D30" s="22" t="s">
        <v>35</v>
      </c>
      <c r="E30" s="22"/>
      <c r="F30" s="23"/>
      <c r="G30" s="23"/>
      <c r="H30" s="23"/>
      <c r="I30" s="23" t="s">
        <v>36</v>
      </c>
      <c r="J30" s="23"/>
      <c r="K30" s="23"/>
      <c r="L30" s="23"/>
      <c r="M30" s="23"/>
      <c r="N30" s="23"/>
      <c r="O30" s="23"/>
      <c r="P30" s="24"/>
      <c r="Q30" s="25"/>
      <c r="R30" s="29"/>
      <c r="S30" s="22"/>
      <c r="T30" s="22"/>
      <c r="U30" s="22"/>
      <c r="V30" s="23" t="s">
        <v>37</v>
      </c>
    </row>
    <row r="31" spans="1:22" ht="17.25" x14ac:dyDescent="0.3">
      <c r="A31" s="30">
        <v>1</v>
      </c>
      <c r="B31" s="21" t="s">
        <v>39</v>
      </c>
      <c r="C31" s="21" t="s">
        <v>40</v>
      </c>
      <c r="D31" s="22"/>
      <c r="E31" s="22"/>
      <c r="F31" s="23"/>
      <c r="G31" s="23"/>
      <c r="H31" s="23"/>
      <c r="I31" s="23"/>
      <c r="J31" s="23"/>
      <c r="K31" s="23"/>
      <c r="L31" s="23">
        <v>5</v>
      </c>
      <c r="M31" s="23"/>
      <c r="N31" s="23" t="s">
        <v>29</v>
      </c>
      <c r="O31" s="23" t="s">
        <v>33</v>
      </c>
      <c r="P31" s="24"/>
      <c r="Q31" s="25"/>
      <c r="R31" s="29"/>
      <c r="S31" s="22"/>
      <c r="T31" s="22"/>
      <c r="U31" s="22"/>
      <c r="V31" s="23"/>
    </row>
    <row r="32" spans="1:22" ht="17.25" x14ac:dyDescent="0.3">
      <c r="A32" s="30">
        <v>1</v>
      </c>
      <c r="B32" s="21" t="s">
        <v>41</v>
      </c>
      <c r="C32" s="21" t="s">
        <v>42</v>
      </c>
      <c r="D32" s="22" t="s">
        <v>43</v>
      </c>
      <c r="E32" s="22" t="s">
        <v>44</v>
      </c>
      <c r="F32" s="23" t="s">
        <v>36</v>
      </c>
      <c r="G32" s="23" t="s">
        <v>36</v>
      </c>
      <c r="H32" s="26"/>
      <c r="I32" s="23"/>
      <c r="J32" s="23"/>
      <c r="K32" s="23"/>
      <c r="L32" s="23"/>
      <c r="M32" s="23"/>
      <c r="N32" s="23"/>
      <c r="O32" s="23"/>
      <c r="P32" s="24"/>
      <c r="Q32" s="25"/>
      <c r="R32" s="29"/>
      <c r="S32" s="22"/>
      <c r="T32" s="22"/>
      <c r="U32" s="22"/>
      <c r="V32" s="23" t="s">
        <v>37</v>
      </c>
    </row>
    <row r="33" spans="1:22" ht="17.25" x14ac:dyDescent="0.3">
      <c r="A33" s="30">
        <v>1</v>
      </c>
      <c r="B33" s="21" t="s">
        <v>45</v>
      </c>
      <c r="C33" s="21" t="s">
        <v>42</v>
      </c>
      <c r="D33" s="22" t="s">
        <v>43</v>
      </c>
      <c r="E33" s="22" t="s">
        <v>44</v>
      </c>
      <c r="F33" s="23" t="e">
        <f t="shared" ref="F33:G35" si="2">ROUND($D33*1,)</f>
        <v>#VALUE!</v>
      </c>
      <c r="G33" s="23" t="e">
        <f t="shared" si="2"/>
        <v>#VALUE!</v>
      </c>
      <c r="H33" s="26"/>
      <c r="I33" s="23"/>
      <c r="J33" s="23"/>
      <c r="K33" s="23"/>
      <c r="L33" s="23"/>
      <c r="M33" s="23"/>
      <c r="N33" s="23"/>
      <c r="O33" s="23"/>
      <c r="P33" s="24"/>
      <c r="Q33" s="25"/>
      <c r="R33" s="29"/>
      <c r="S33" s="22"/>
      <c r="T33" s="22"/>
      <c r="U33" s="22"/>
      <c r="V33" s="23" t="s">
        <v>37</v>
      </c>
    </row>
    <row r="34" spans="1:22" ht="17.25" x14ac:dyDescent="0.3">
      <c r="A34" s="30">
        <v>1</v>
      </c>
      <c r="B34" s="21" t="s">
        <v>46</v>
      </c>
      <c r="C34" s="21" t="s">
        <v>42</v>
      </c>
      <c r="D34" s="22" t="s">
        <v>47</v>
      </c>
      <c r="E34" s="22" t="s">
        <v>44</v>
      </c>
      <c r="F34" s="23" t="e">
        <f t="shared" si="2"/>
        <v>#VALUE!</v>
      </c>
      <c r="G34" s="23" t="e">
        <f t="shared" si="2"/>
        <v>#VALUE!</v>
      </c>
      <c r="H34" s="26"/>
      <c r="I34" s="23"/>
      <c r="J34" s="23"/>
      <c r="K34" s="23"/>
      <c r="L34" s="23"/>
      <c r="M34" s="23"/>
      <c r="N34" s="23"/>
      <c r="O34" s="23"/>
      <c r="P34" s="24"/>
      <c r="Q34" s="25"/>
      <c r="R34" s="29"/>
      <c r="S34" s="22"/>
      <c r="T34" s="22"/>
      <c r="U34" s="22"/>
      <c r="V34" s="23" t="s">
        <v>37</v>
      </c>
    </row>
    <row r="35" spans="1:22" ht="17.25" x14ac:dyDescent="0.3">
      <c r="A35" s="26">
        <v>1</v>
      </c>
      <c r="B35" s="22" t="s">
        <v>48</v>
      </c>
      <c r="C35" s="21" t="s">
        <v>42</v>
      </c>
      <c r="D35" s="22" t="s">
        <v>47</v>
      </c>
      <c r="E35" s="22" t="s">
        <v>44</v>
      </c>
      <c r="F35" s="23" t="e">
        <f t="shared" si="2"/>
        <v>#VALUE!</v>
      </c>
      <c r="G35" s="23" t="e">
        <f t="shared" si="2"/>
        <v>#VALUE!</v>
      </c>
      <c r="H35" s="26"/>
      <c r="I35" s="23"/>
      <c r="J35" s="23"/>
      <c r="K35" s="23"/>
      <c r="L35" s="23"/>
      <c r="M35" s="23"/>
      <c r="N35" s="23"/>
      <c r="O35" s="23"/>
      <c r="P35" s="24"/>
      <c r="Q35" s="25"/>
      <c r="R35" s="29"/>
      <c r="S35" s="22"/>
      <c r="T35" s="22"/>
      <c r="U35" s="22"/>
      <c r="V35" s="23" t="s">
        <v>37</v>
      </c>
    </row>
    <row r="36" spans="1:22" ht="17.25" x14ac:dyDescent="0.3">
      <c r="A36" s="30">
        <v>1</v>
      </c>
      <c r="B36" s="21" t="s">
        <v>49</v>
      </c>
      <c r="C36" s="21"/>
      <c r="D36" s="28"/>
      <c r="E36" s="21" t="s">
        <v>50</v>
      </c>
      <c r="F36" s="23">
        <f>ROUND($D36*1,)</f>
        <v>0</v>
      </c>
      <c r="G36" s="23">
        <f>ROUND($D36*1,)</f>
        <v>0</v>
      </c>
      <c r="H36" s="23"/>
      <c r="I36" s="23"/>
      <c r="J36" s="23"/>
      <c r="K36" s="23"/>
      <c r="L36" s="23"/>
      <c r="M36" s="23"/>
      <c r="N36" s="23"/>
      <c r="O36" s="23"/>
      <c r="P36" s="24"/>
      <c r="Q36" s="25">
        <v>230</v>
      </c>
      <c r="R36" s="24">
        <v>10</v>
      </c>
      <c r="S36" s="22"/>
      <c r="T36" s="22"/>
      <c r="U36" s="22"/>
      <c r="V36" s="23" t="s">
        <v>37</v>
      </c>
    </row>
    <row r="37" spans="1:22" ht="17.25" x14ac:dyDescent="0.3">
      <c r="A37" s="26"/>
      <c r="B37" s="21"/>
      <c r="C37" s="21"/>
      <c r="D37" s="22"/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4"/>
      <c r="Q37" s="25"/>
      <c r="R37" s="29"/>
      <c r="S37" s="22"/>
      <c r="T37" s="22"/>
      <c r="U37" s="22"/>
      <c r="V37" s="23"/>
    </row>
    <row r="38" spans="1:22" ht="17.25" x14ac:dyDescent="0.3">
      <c r="A38" s="30">
        <v>1</v>
      </c>
      <c r="B38" s="21" t="s">
        <v>53</v>
      </c>
      <c r="C38" s="21" t="s">
        <v>54</v>
      </c>
      <c r="D38" s="22" t="s">
        <v>35</v>
      </c>
      <c r="E38" s="22"/>
      <c r="F38" s="23"/>
      <c r="G38" s="23"/>
      <c r="H38" s="23"/>
      <c r="I38" s="23" t="e">
        <f t="shared" ref="I38:I44" si="3">ROUND($D38*1,)</f>
        <v>#VALUE!</v>
      </c>
      <c r="J38" s="23"/>
      <c r="K38" s="23"/>
      <c r="L38" s="23"/>
      <c r="M38" s="23"/>
      <c r="N38" s="23"/>
      <c r="O38" s="23"/>
      <c r="P38" s="24"/>
      <c r="Q38" s="25"/>
      <c r="R38" s="29"/>
      <c r="S38" s="22"/>
      <c r="T38" s="22"/>
      <c r="U38" s="22"/>
      <c r="V38" s="23" t="s">
        <v>37</v>
      </c>
    </row>
    <row r="39" spans="1:22" ht="17.25" x14ac:dyDescent="0.3">
      <c r="A39" s="30">
        <v>1</v>
      </c>
      <c r="B39" s="21" t="s">
        <v>55</v>
      </c>
      <c r="C39" s="21" t="s">
        <v>56</v>
      </c>
      <c r="D39" s="22" t="s">
        <v>35</v>
      </c>
      <c r="E39" s="22"/>
      <c r="F39" s="23"/>
      <c r="G39" s="23"/>
      <c r="H39" s="23"/>
      <c r="I39" s="23" t="e">
        <f t="shared" si="3"/>
        <v>#VALUE!</v>
      </c>
      <c r="J39" s="23"/>
      <c r="K39" s="23"/>
      <c r="L39" s="23"/>
      <c r="M39" s="23"/>
      <c r="N39" s="23"/>
      <c r="O39" s="23"/>
      <c r="P39" s="24"/>
      <c r="Q39" s="25"/>
      <c r="R39" s="29"/>
      <c r="S39" s="22"/>
      <c r="T39" s="22"/>
      <c r="U39" s="22"/>
      <c r="V39" s="23" t="s">
        <v>37</v>
      </c>
    </row>
    <row r="40" spans="1:22" ht="17.25" x14ac:dyDescent="0.3">
      <c r="A40" s="30">
        <v>1</v>
      </c>
      <c r="B40" s="21" t="s">
        <v>57</v>
      </c>
      <c r="C40" s="21"/>
      <c r="D40" s="22" t="s">
        <v>58</v>
      </c>
      <c r="E40" s="22"/>
      <c r="F40" s="23"/>
      <c r="G40" s="23"/>
      <c r="H40" s="23"/>
      <c r="I40" s="23" t="e">
        <f t="shared" si="3"/>
        <v>#VALUE!</v>
      </c>
      <c r="J40" s="23"/>
      <c r="K40" s="23"/>
      <c r="L40" s="23"/>
      <c r="M40" s="23"/>
      <c r="N40" s="23"/>
      <c r="O40" s="23"/>
      <c r="P40" s="24"/>
      <c r="Q40" s="25"/>
      <c r="R40" s="29"/>
      <c r="S40" s="22"/>
      <c r="T40" s="22"/>
      <c r="U40" s="22"/>
      <c r="V40" s="23" t="s">
        <v>37</v>
      </c>
    </row>
    <row r="41" spans="1:22" ht="17.25" x14ac:dyDescent="0.3">
      <c r="A41" s="30">
        <v>1</v>
      </c>
      <c r="B41" s="21" t="s">
        <v>59</v>
      </c>
      <c r="C41" s="21"/>
      <c r="D41" s="22" t="s">
        <v>58</v>
      </c>
      <c r="E41" s="22"/>
      <c r="F41" s="23"/>
      <c r="G41" s="23"/>
      <c r="H41" s="23"/>
      <c r="I41" s="23" t="e">
        <f t="shared" si="3"/>
        <v>#VALUE!</v>
      </c>
      <c r="J41" s="23"/>
      <c r="K41" s="23"/>
      <c r="L41" s="23"/>
      <c r="M41" s="23"/>
      <c r="N41" s="23"/>
      <c r="O41" s="23"/>
      <c r="P41" s="24"/>
      <c r="Q41" s="25"/>
      <c r="R41" s="29"/>
      <c r="S41" s="22"/>
      <c r="T41" s="22"/>
      <c r="U41" s="22"/>
      <c r="V41" s="23" t="s">
        <v>37</v>
      </c>
    </row>
    <row r="42" spans="1:22" ht="17.25" x14ac:dyDescent="0.3">
      <c r="A42" s="30">
        <v>1</v>
      </c>
      <c r="B42" s="21" t="s">
        <v>60</v>
      </c>
      <c r="C42" s="21"/>
      <c r="D42" s="22" t="s">
        <v>58</v>
      </c>
      <c r="E42" s="22"/>
      <c r="F42" s="23"/>
      <c r="G42" s="23"/>
      <c r="H42" s="23"/>
      <c r="I42" s="23" t="e">
        <f t="shared" si="3"/>
        <v>#VALUE!</v>
      </c>
      <c r="J42" s="23"/>
      <c r="K42" s="23"/>
      <c r="L42" s="23"/>
      <c r="M42" s="23"/>
      <c r="N42" s="23"/>
      <c r="O42" s="23"/>
      <c r="P42" s="24"/>
      <c r="Q42" s="25"/>
      <c r="R42" s="29"/>
      <c r="S42" s="22"/>
      <c r="T42" s="22"/>
      <c r="U42" s="22"/>
      <c r="V42" s="23" t="s">
        <v>37</v>
      </c>
    </row>
    <row r="43" spans="1:22" ht="17.25" x14ac:dyDescent="0.3">
      <c r="A43" s="30">
        <v>1</v>
      </c>
      <c r="B43" s="21" t="s">
        <v>61</v>
      </c>
      <c r="C43" s="21"/>
      <c r="D43" s="22" t="s">
        <v>35</v>
      </c>
      <c r="E43" s="22"/>
      <c r="F43" s="23"/>
      <c r="G43" s="23"/>
      <c r="H43" s="23"/>
      <c r="I43" s="23" t="e">
        <f t="shared" si="3"/>
        <v>#VALUE!</v>
      </c>
      <c r="J43" s="23"/>
      <c r="K43" s="23"/>
      <c r="L43" s="23"/>
      <c r="M43" s="23"/>
      <c r="N43" s="23"/>
      <c r="O43" s="23"/>
      <c r="P43" s="24"/>
      <c r="Q43" s="25"/>
      <c r="R43" s="29"/>
      <c r="S43" s="22"/>
      <c r="T43" s="22"/>
      <c r="U43" s="22"/>
      <c r="V43" s="23" t="s">
        <v>37</v>
      </c>
    </row>
    <row r="44" spans="1:22" ht="17.25" x14ac:dyDescent="0.3">
      <c r="A44" s="30">
        <v>1</v>
      </c>
      <c r="B44" s="21" t="s">
        <v>62</v>
      </c>
      <c r="C44" s="21"/>
      <c r="D44" s="22" t="s">
        <v>35</v>
      </c>
      <c r="E44" s="22"/>
      <c r="F44" s="23"/>
      <c r="G44" s="23"/>
      <c r="H44" s="23"/>
      <c r="I44" s="23" t="e">
        <f t="shared" si="3"/>
        <v>#VALUE!</v>
      </c>
      <c r="J44" s="23"/>
      <c r="K44" s="23"/>
      <c r="L44" s="23"/>
      <c r="M44" s="23"/>
      <c r="N44" s="23"/>
      <c r="O44" s="23"/>
      <c r="P44" s="24"/>
      <c r="Q44" s="25"/>
      <c r="R44" s="29"/>
      <c r="S44" s="22"/>
      <c r="T44" s="22"/>
      <c r="U44" s="22"/>
      <c r="V44" s="23" t="s">
        <v>37</v>
      </c>
    </row>
  </sheetData>
  <dataValidations count="9">
    <dataValidation operator="equal" allowBlank="1" showInputMessage="1" showErrorMessage="1" sqref="A1:U2" xr:uid="{ED7186EC-9E56-428F-8D80-A08DA84EB787}"/>
    <dataValidation type="list" allowBlank="1" showInputMessage="1" showErrorMessage="1" sqref="V7:V8 V10:V15 V18:V19 V21:V26 V29:V30 V32:V36 V38:V44" xr:uid="{8D5A2D15-66F9-4921-A641-A5815F3255B1}">
      <formula1>"S,M,KS,KM"</formula1>
    </dataValidation>
    <dataValidation type="list" allowBlank="1" showInputMessage="1" showErrorMessage="1" sqref="D9 D20 D31" xr:uid="{6EB40F19-F8D1-4AB9-9F6B-E1DBBFB2C1BB}">
      <formula1>Warmte_koudemeters</formula1>
    </dataValidation>
    <dataValidation type="list" allowBlank="1" showInputMessage="1" showErrorMessage="1" sqref="E10:E13 E15 E21:E24 E26 E32:E35" xr:uid="{C21FAC8B-48C0-4726-9908-E48B9355ABD5}">
      <formula1>Hulprelais</formula1>
    </dataValidation>
    <dataValidation type="list" allowBlank="1" showInputMessage="1" showErrorMessage="1" sqref="N5:N6 N9 N16:N17 N20 N27:N28 N31" xr:uid="{A727469F-E96C-4F4D-966C-0BEDFE97E3B6}">
      <formula1>Protocollen</formula1>
    </dataValidation>
    <dataValidation type="list" allowBlank="1" showInputMessage="1" showErrorMessage="1" sqref="O5:O6 O9 O16:O17 O20 O27:O28 O31" xr:uid="{331007E6-B0AA-4966-B11F-E0C1AF47D243}">
      <formula1>Lijnen</formula1>
    </dataValidation>
    <dataValidation type="list" allowBlank="1" showInputMessage="1" showErrorMessage="1" sqref="E14 E25 E36" xr:uid="{99B40415-FAC0-4F5B-BBA7-155F9E3D4692}">
      <formula1>Voeding_tracing</formula1>
    </dataValidation>
    <dataValidation type="list" allowBlank="1" showInputMessage="1" showErrorMessage="1" sqref="D10:D13 D21:D24 D32:D35" xr:uid="{EB8D0298-5C9B-45FD-B038-21E5FCFC8825}">
      <formula1>Afsluiters_2OD</formula1>
    </dataValidation>
    <dataValidation type="list" allowBlank="1" showInputMessage="1" showErrorMessage="1" sqref="D7:D8 D18:D19 D29:D30 D38:D44" xr:uid="{5AA891D1-F4D3-4A40-B3C2-87E0A51A553B}">
      <formula1>Temperatuursensoren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2026-07-16T07:26:13Z</dcterms:created>
  <dcterms:modified xsi:type="dcterms:W3CDTF">2026-07-16T07:27:07Z</dcterms:modified>
</cp:coreProperties>
</file>