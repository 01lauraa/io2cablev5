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jnkuijpers-my.sharepoint.com/personal/pheumen_kuijpers_com/Documents/Documenten/tijdelijk kpo/2026/Blossem/input/"/>
    </mc:Choice>
  </mc:AlternateContent>
  <xr:revisionPtr revIDLastSave="1" documentId="13_ncr:1_{410805EC-B8B0-43AC-ACF5-81952B9C5317}" xr6:coauthVersionLast="47" xr6:coauthVersionMax="47" xr10:uidLastSave="{2096BB99-29D4-43CD-8774-B0B47088633C}"/>
  <bookViews>
    <workbookView xWindow="-120" yWindow="-120" windowWidth="29040" windowHeight="15720" xr2:uid="{00000000-000D-0000-FFFF-FFFF00000000}"/>
  </bookViews>
  <sheets>
    <sheet name="Apparatuurlijst" sheetId="37" r:id="rId1"/>
    <sheet name="Apparatuurlijst WP" sheetId="38" state="hidden" r:id="rId2"/>
  </sheets>
  <definedNames>
    <definedName name="_xlnm._FilterDatabase" localSheetId="0" hidden="1">Apparatuurlijst!$A$5:$V$62</definedName>
    <definedName name="_xlnm._FilterDatabase" localSheetId="1" hidden="1">'Apparatuurlijst WP'!$A$7:$CB$59</definedName>
    <definedName name="_xlnm.Print_Area" localSheetId="0">Apparatuurlijst!$A$1:$V$58</definedName>
    <definedName name="_xlnm.Print_Area" localSheetId="1">'Apparatuurlijst WP'!$A$1:$CB$60</definedName>
    <definedName name="_xlnm.Print_Titles" localSheetId="0">Apparatuurlijst!$1:$5</definedName>
    <definedName name="_xlnm.Print_Titles" localSheetId="1">'Apparatuurlijst WP'!$1:$7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37" l="1"/>
  <c r="B29" i="37"/>
  <c r="B28" i="37"/>
  <c r="B27" i="37"/>
  <c r="B25" i="37"/>
  <c r="B24" i="37"/>
  <c r="B23" i="37"/>
  <c r="B22" i="37"/>
  <c r="B20" i="37"/>
  <c r="B19" i="37"/>
  <c r="B11" i="37"/>
  <c r="B30" i="37"/>
  <c r="B26" i="37"/>
  <c r="B18" i="37"/>
  <c r="B17" i="37"/>
  <c r="B16" i="37"/>
  <c r="B15" i="37"/>
  <c r="B14" i="37"/>
  <c r="B13" i="37"/>
  <c r="B12" i="37"/>
  <c r="B10" i="37"/>
  <c r="B7" i="37"/>
  <c r="B6" i="37"/>
  <c r="N5" i="37" l="1"/>
  <c r="U5" i="37" l="1"/>
  <c r="T5" i="37"/>
  <c r="S5" i="37"/>
  <c r="R5" i="37" l="1"/>
  <c r="Q5" i="37"/>
  <c r="P5" i="37"/>
  <c r="O5" i="37"/>
  <c r="N1" i="38" l="1"/>
  <c r="B3" i="38"/>
  <c r="BW8" i="38"/>
  <c r="BX8" i="38"/>
  <c r="BY8" i="38"/>
  <c r="BZ8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B35" i="38"/>
  <c r="B36" i="38"/>
  <c r="B37" i="38"/>
  <c r="B38" i="38"/>
  <c r="B39" i="38"/>
  <c r="B40" i="38"/>
  <c r="B41" i="38"/>
  <c r="B42" i="38"/>
  <c r="B43" i="38"/>
  <c r="B44" i="38"/>
  <c r="B45" i="38"/>
  <c r="B46" i="38"/>
  <c r="B47" i="38"/>
  <c r="B48" i="38"/>
  <c r="B49" i="38"/>
  <c r="B50" i="38"/>
  <c r="B51" i="38"/>
  <c r="B52" i="38"/>
  <c r="B53" i="38"/>
  <c r="B54" i="38"/>
  <c r="B55" i="38"/>
  <c r="B56" i="38"/>
  <c r="B57" i="38"/>
  <c r="B58" i="38"/>
  <c r="B59" i="38"/>
  <c r="B60" i="38"/>
</calcChain>
</file>

<file path=xl/sharedStrings.xml><?xml version="1.0" encoding="utf-8"?>
<sst xmlns="http://schemas.openxmlformats.org/spreadsheetml/2006/main" count="1110" uniqueCount="298">
  <si>
    <t xml:space="preserve"> </t>
  </si>
  <si>
    <t>(Deel) Syst.</t>
  </si>
  <si>
    <t>Debiet</t>
  </si>
  <si>
    <t>Stroom</t>
  </si>
  <si>
    <t>Th.bev.</t>
  </si>
  <si>
    <t>Van</t>
  </si>
  <si>
    <t>hoogte</t>
  </si>
  <si>
    <t>type</t>
  </si>
  <si>
    <t>Leggen</t>
  </si>
  <si>
    <t>[m³/h]</t>
  </si>
  <si>
    <t>[kPa]</t>
  </si>
  <si>
    <t>P [kW]</t>
  </si>
  <si>
    <t>In [A]</t>
  </si>
  <si>
    <t>I [A]</t>
  </si>
  <si>
    <t>P-stat</t>
  </si>
  <si>
    <t>GTI</t>
  </si>
  <si>
    <t>[Pa]</t>
  </si>
  <si>
    <t>Verm.</t>
  </si>
  <si>
    <t>Temp.</t>
  </si>
  <si>
    <t>Leid.</t>
  </si>
  <si>
    <t>DN</t>
  </si>
  <si>
    <t>PN</t>
  </si>
  <si>
    <t>elem.</t>
  </si>
  <si>
    <t>traject</t>
  </si>
  <si>
    <t>diam.</t>
  </si>
  <si>
    <t>Afsl.</t>
  </si>
  <si>
    <t>Elem.</t>
  </si>
  <si>
    <t>Totaal</t>
  </si>
  <si>
    <t>m³/h</t>
  </si>
  <si>
    <t>open</t>
  </si>
  <si>
    <t>0 var.</t>
  </si>
  <si>
    <t>1Bar</t>
  </si>
  <si>
    <t>Omschrijving</t>
  </si>
  <si>
    <t>Instelling</t>
  </si>
  <si>
    <t>Waterzijdig</t>
  </si>
  <si>
    <t>Fabrikaat</t>
  </si>
  <si>
    <t>Type</t>
  </si>
  <si>
    <t>Regelkast</t>
  </si>
  <si>
    <t>Procescode</t>
  </si>
  <si>
    <t>Nummer</t>
  </si>
  <si>
    <t>Doorsnede</t>
  </si>
  <si>
    <t>Testen</t>
  </si>
  <si>
    <t>Check</t>
  </si>
  <si>
    <t>Derden</t>
  </si>
  <si>
    <t>Restpunten</t>
  </si>
  <si>
    <t>[]</t>
  </si>
  <si>
    <t>diverse</t>
  </si>
  <si>
    <t>datum</t>
  </si>
  <si>
    <t>ID-code</t>
  </si>
  <si>
    <t>A [mm²]</t>
  </si>
  <si>
    <t>h [kPa]</t>
  </si>
  <si>
    <t>locatie</t>
  </si>
  <si>
    <t>Toerental</t>
  </si>
  <si>
    <t>Controle</t>
  </si>
  <si>
    <t>opmerking</t>
  </si>
  <si>
    <t>Naar</t>
  </si>
  <si>
    <t>n [omw/min]</t>
  </si>
  <si>
    <t>d [mm]</t>
  </si>
  <si>
    <t>[ºC/ºC]</t>
  </si>
  <si>
    <t>[kW]</t>
  </si>
  <si>
    <t>[kg/s]</t>
  </si>
  <si>
    <t>bedrijf</t>
  </si>
  <si>
    <t>Filter</t>
  </si>
  <si>
    <t>Elektrisch</t>
  </si>
  <si>
    <t>Kabels</t>
  </si>
  <si>
    <t>Opmerking</t>
  </si>
  <si>
    <t>Autoriteit</t>
  </si>
  <si>
    <t>Extra informatie</t>
  </si>
  <si>
    <t>Regelafsluiter</t>
  </si>
  <si>
    <t>Monteren</t>
  </si>
  <si>
    <t>Gemeten [A]</t>
  </si>
  <si>
    <t>Schakeling</t>
  </si>
  <si>
    <t>Gemeten</t>
  </si>
  <si>
    <t>[mm]</t>
  </si>
  <si>
    <t>[bar]</t>
  </si>
  <si>
    <t>a: Meng</t>
  </si>
  <si>
    <t>b: Verdeel</t>
  </si>
  <si>
    <t>c: Smoor</t>
  </si>
  <si>
    <t>a of b of c</t>
  </si>
  <si>
    <t>KVS</t>
  </si>
  <si>
    <t>Leveren &amp;</t>
  </si>
  <si>
    <t xml:space="preserve">Filter </t>
  </si>
  <si>
    <t>Onderdeel</t>
  </si>
  <si>
    <t>Installatie</t>
  </si>
  <si>
    <t>Specificatie</t>
  </si>
  <si>
    <t>Coderingen</t>
  </si>
  <si>
    <t>Bijzonderheden</t>
  </si>
  <si>
    <t>Code</t>
  </si>
  <si>
    <t>Onderdeelomschrijving</t>
  </si>
  <si>
    <t>Artikelomschrijving</t>
  </si>
  <si>
    <t>Afgeroepen</t>
  </si>
  <si>
    <t xml:space="preserve">aantal </t>
  </si>
  <si>
    <t>Labels</t>
  </si>
  <si>
    <t>regeling</t>
  </si>
  <si>
    <t>Opvoerh</t>
  </si>
  <si>
    <t>Datum:</t>
  </si>
  <si>
    <t>Projectnr:</t>
  </si>
  <si>
    <t>Projectn:</t>
  </si>
  <si>
    <t>afmonteren</t>
  </si>
  <si>
    <t>Lucht zijdig</t>
  </si>
  <si>
    <t>Debiet/min</t>
  </si>
  <si>
    <t>Debiet/max</t>
  </si>
  <si>
    <t>tovoer vast</t>
  </si>
  <si>
    <t>afvoer vast</t>
  </si>
  <si>
    <t>230V</t>
  </si>
  <si>
    <t>400V</t>
  </si>
  <si>
    <t>Temperatuuropnemer</t>
  </si>
  <si>
    <t>voeding</t>
  </si>
  <si>
    <t>Circulatiepomp</t>
  </si>
  <si>
    <t>Systeem</t>
  </si>
  <si>
    <t>Energiemeter</t>
  </si>
  <si>
    <t>Warmtepompen</t>
  </si>
  <si>
    <t>warmtepomp 1</t>
  </si>
  <si>
    <t>koeling</t>
  </si>
  <si>
    <t>verwarming</t>
  </si>
  <si>
    <t>uitrede</t>
  </si>
  <si>
    <t>intrede</t>
  </si>
  <si>
    <t>Flowmeter</t>
  </si>
  <si>
    <t>volg nr.</t>
  </si>
  <si>
    <t>01</t>
  </si>
  <si>
    <t>02</t>
  </si>
  <si>
    <t>03</t>
  </si>
  <si>
    <t>04</t>
  </si>
  <si>
    <t>05</t>
  </si>
  <si>
    <t>CV</t>
  </si>
  <si>
    <t>TT</t>
  </si>
  <si>
    <t>CP</t>
  </si>
  <si>
    <t>10</t>
  </si>
  <si>
    <t>11</t>
  </si>
  <si>
    <t>PT</t>
  </si>
  <si>
    <t>[L/S]</t>
  </si>
  <si>
    <t>Regelafsluiter 3-weg</t>
  </si>
  <si>
    <t>Ia (A)</t>
  </si>
  <si>
    <t>ONTWERP</t>
  </si>
  <si>
    <t>Slag</t>
  </si>
  <si>
    <t>Looptijd</t>
  </si>
  <si>
    <t>mm</t>
  </si>
  <si>
    <t>sturing</t>
  </si>
  <si>
    <t>sec</t>
  </si>
  <si>
    <t>Sluitdruk</t>
  </si>
  <si>
    <t>karakteristiek</t>
  </si>
  <si>
    <t>Siemens</t>
  </si>
  <si>
    <t>MAG5000 / MAG5100W</t>
  </si>
  <si>
    <t>FT</t>
  </si>
  <si>
    <t>bouwd.</t>
  </si>
  <si>
    <t>KSB</t>
  </si>
  <si>
    <t>Etaline</t>
  </si>
  <si>
    <t>Overhoeks</t>
  </si>
  <si>
    <t>51</t>
  </si>
  <si>
    <t>30</t>
  </si>
  <si>
    <t>verd.</t>
  </si>
  <si>
    <t>Actie</t>
  </si>
  <si>
    <t>extra</t>
  </si>
  <si>
    <t>20</t>
  </si>
  <si>
    <t>21</t>
  </si>
  <si>
    <t>22</t>
  </si>
  <si>
    <t>13</t>
  </si>
  <si>
    <t>EH</t>
  </si>
  <si>
    <t>31</t>
  </si>
  <si>
    <t>12</t>
  </si>
  <si>
    <t>CO</t>
  </si>
  <si>
    <t>KWH-meter</t>
  </si>
  <si>
    <t>AI</t>
  </si>
  <si>
    <t>AO</t>
  </si>
  <si>
    <t>DI</t>
  </si>
  <si>
    <t>DO</t>
  </si>
  <si>
    <t>I/O punten</t>
  </si>
  <si>
    <t>Hand</t>
  </si>
  <si>
    <t>M3P80FY</t>
  </si>
  <si>
    <t>M3P100FY</t>
  </si>
  <si>
    <t>QAP2012.150 + ALT-SB150</t>
  </si>
  <si>
    <t>RK-WP1</t>
  </si>
  <si>
    <t>Compressor 1</t>
  </si>
  <si>
    <t>Compressor 2</t>
  </si>
  <si>
    <t>Solenoid</t>
  </si>
  <si>
    <t>CR3</t>
  </si>
  <si>
    <t>CR4</t>
  </si>
  <si>
    <t>regeling cappaciteit vermindering (puls)</t>
  </si>
  <si>
    <t>regeling cappaciteit vermeerdering (puls)</t>
  </si>
  <si>
    <t>MSV</t>
  </si>
  <si>
    <t>LZ</t>
  </si>
  <si>
    <t>niveauopnemer olie</t>
  </si>
  <si>
    <t>drukopnemer</t>
  </si>
  <si>
    <t>zuigzijde compressor</t>
  </si>
  <si>
    <t>Perzijde compressor</t>
  </si>
  <si>
    <t>ECO aansluiting</t>
  </si>
  <si>
    <t>condensor</t>
  </si>
  <si>
    <t>desuperheater</t>
  </si>
  <si>
    <t>solenoid</t>
  </si>
  <si>
    <t>expansieventiel</t>
  </si>
  <si>
    <t>ciquit 2</t>
  </si>
  <si>
    <t>ciquit 1</t>
  </si>
  <si>
    <t>verdamper</t>
  </si>
  <si>
    <t>32</t>
  </si>
  <si>
    <t>40</t>
  </si>
  <si>
    <t>41</t>
  </si>
  <si>
    <t>50</t>
  </si>
  <si>
    <t>0-10V</t>
  </si>
  <si>
    <t>PT1000</t>
  </si>
  <si>
    <t>ster/driehoek</t>
  </si>
  <si>
    <t>puls</t>
  </si>
  <si>
    <t>4-20mA</t>
  </si>
  <si>
    <t>0-10V / 4-20mA</t>
  </si>
  <si>
    <t>FS</t>
  </si>
  <si>
    <t>Flowschakelaar</t>
  </si>
  <si>
    <t>IFM</t>
  </si>
  <si>
    <t>SI5001</t>
  </si>
  <si>
    <t>Bitzer</t>
  </si>
  <si>
    <t>CSH7571-90Y</t>
  </si>
  <si>
    <t>CSH8591-140Y</t>
  </si>
  <si>
    <t>MVL661.---</t>
  </si>
  <si>
    <t>Danfoss</t>
  </si>
  <si>
    <t>AKS 33</t>
  </si>
  <si>
    <t>ASK 11</t>
  </si>
  <si>
    <t>CR1</t>
  </si>
  <si>
    <t>CR2</t>
  </si>
  <si>
    <t>23</t>
  </si>
  <si>
    <t>Olie heater</t>
  </si>
  <si>
    <t>drukverschilschakelaar</t>
  </si>
  <si>
    <t>Penn</t>
  </si>
  <si>
    <t>?</t>
  </si>
  <si>
    <t>KWH</t>
  </si>
  <si>
    <t>DN…</t>
  </si>
  <si>
    <t>PZ</t>
  </si>
  <si>
    <t>Regelkast algemeen</t>
  </si>
  <si>
    <t>Algemeen</t>
  </si>
  <si>
    <t>GKW</t>
  </si>
  <si>
    <t>Intrede</t>
  </si>
  <si>
    <t>Uittrede</t>
  </si>
  <si>
    <t>Storing niet urgent</t>
  </si>
  <si>
    <t>Storing urgent</t>
  </si>
  <si>
    <t>Automaat 230V</t>
  </si>
  <si>
    <t>Automaat 24V</t>
  </si>
  <si>
    <t>00</t>
  </si>
  <si>
    <t>modbus RTU</t>
  </si>
  <si>
    <t>Resetknop</t>
  </si>
  <si>
    <t>Pumpdrive 2</t>
  </si>
  <si>
    <t>kW</t>
  </si>
  <si>
    <t>A</t>
  </si>
  <si>
    <t>Component</t>
  </si>
  <si>
    <t>Zekering</t>
  </si>
  <si>
    <t>Relais en lamp</t>
  </si>
  <si>
    <t>Waterdetectie</t>
  </si>
  <si>
    <t>Kamstrup multical 603</t>
  </si>
  <si>
    <t>Drukopnemer</t>
  </si>
  <si>
    <t>Ruimtetemperatuur</t>
  </si>
  <si>
    <t>Centraal</t>
  </si>
  <si>
    <t>4-20mA = 0-16 bar 2-draad</t>
  </si>
  <si>
    <t>RK01</t>
  </si>
  <si>
    <t>vrijgave / bedrijf / sturing / MODbus RTU</t>
  </si>
  <si>
    <t>RK02</t>
  </si>
  <si>
    <t>voeding 230V</t>
  </si>
  <si>
    <t>Glycol</t>
  </si>
  <si>
    <t>kWh meters</t>
  </si>
  <si>
    <t>Hoofdproces</t>
  </si>
  <si>
    <t>Deelproces</t>
  </si>
  <si>
    <t>Volgnummer</t>
  </si>
  <si>
    <t>Apparaatcode</t>
  </si>
  <si>
    <t>Componentnr</t>
  </si>
  <si>
    <t>Softwarecode</t>
  </si>
  <si>
    <t>0</t>
  </si>
  <si>
    <t>1</t>
  </si>
  <si>
    <t>EM</t>
  </si>
  <si>
    <t>RS</t>
  </si>
  <si>
    <t>SA</t>
  </si>
  <si>
    <t>AN</t>
  </si>
  <si>
    <t>AU</t>
  </si>
  <si>
    <t>2</t>
  </si>
  <si>
    <t>WD</t>
  </si>
  <si>
    <t>3</t>
  </si>
  <si>
    <t>KM</t>
  </si>
  <si>
    <t>i.c.m. Kamstrup multical 603</t>
  </si>
  <si>
    <t>71</t>
  </si>
  <si>
    <t>Vrije voedingsgroep 230V 16A aardlek + 400V 20A</t>
  </si>
  <si>
    <t>Vrije groepen</t>
  </si>
  <si>
    <t>Stuurstroom 24V</t>
  </si>
  <si>
    <t>Stuurstroom 230V</t>
  </si>
  <si>
    <t>Stuurstroom opslitsen zie tab 'stuurstroom'</t>
  </si>
  <si>
    <t>Blossem Drycooler</t>
  </si>
  <si>
    <t>2x WCD, laptop tafel, verlichting, ventilator op themostaat, switch Glas naar koper.</t>
  </si>
  <si>
    <t>Energiemeters in HKL EC01 via MODbus RTU</t>
  </si>
  <si>
    <t>3710KM01</t>
  </si>
  <si>
    <t>Drycooler 1</t>
  </si>
  <si>
    <t xml:space="preserve">storing / sturing </t>
  </si>
  <si>
    <t>DK</t>
  </si>
  <si>
    <t>Drycooler 2</t>
  </si>
  <si>
    <t>Weerstation</t>
  </si>
  <si>
    <t>Buitensensor Belimo 22UTH-150X MODBUS</t>
  </si>
  <si>
    <t>Belimo</t>
  </si>
  <si>
    <t>24V  0-10V</t>
  </si>
  <si>
    <t>Versterker Cavia</t>
  </si>
  <si>
    <t>Uittrede DC 1</t>
  </si>
  <si>
    <t>Uittrede DC 2</t>
  </si>
  <si>
    <t>TSA primair</t>
  </si>
  <si>
    <t>TSA secundiar</t>
  </si>
  <si>
    <t>Regelkast DC 1</t>
  </si>
  <si>
    <t>Regelkast DC 2</t>
  </si>
  <si>
    <t>Cabero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</si>
</sst>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/yy;@"/>
    <numFmt numFmtId="165" formatCode="_-[$€]\ * #,##0.00_-;_-[$€]\ * #,##0.00\-;_-[$€]\ * &quot;-&quot;??_-;_-@_-"/>
    <numFmt numFmtId="166" formatCode="yyyy/mm/dd"/>
    <numFmt numFmtId="167" formatCode="s\t\a\nd\a\a\rd"/>
    <numFmt numFmtId="168" formatCode="_-&quot;fl&quot;\ * #,##0.00_-;_-&quot;fl&quot;\ * #,##0.00\-;_-&quot;fl&quot;\ * &quot;-&quot;??_-;_-@_-"/>
    <numFmt numFmtId="169" formatCode="\$#,##0\ ;\(\$#,##0\)"/>
    <numFmt numFmtId="170" formatCode="0.0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Tahoma"/>
      <family val="2"/>
    </font>
    <font>
      <sz val="10"/>
      <name val="Arial"/>
      <family val="2"/>
    </font>
    <font>
      <sz val="10"/>
      <color indexed="55"/>
      <name val="Arial"/>
      <family val="2"/>
    </font>
    <font>
      <i/>
      <sz val="10"/>
      <name val="Arial"/>
      <family val="2"/>
    </font>
    <font>
      <b/>
      <sz val="10"/>
      <color indexed="9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i/>
      <sz val="8"/>
      <name val="Tahoma"/>
      <family val="2"/>
    </font>
    <font>
      <sz val="10"/>
      <color indexed="22"/>
      <name val="Arial"/>
      <family val="2"/>
    </font>
    <font>
      <sz val="12"/>
      <name val="Arial"/>
      <family val="2"/>
    </font>
    <font>
      <sz val="10"/>
      <color indexed="12"/>
      <name val="Arial"/>
      <family val="2"/>
    </font>
    <font>
      <u/>
      <sz val="10"/>
      <color indexed="12"/>
      <name val="Arial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7">
    <xf numFmtId="0" fontId="0" fillId="0" borderId="0"/>
    <xf numFmtId="165" fontId="2" fillId="0" borderId="0" applyFont="0" applyFill="0" applyBorder="0" applyAlignment="0" applyProtection="0"/>
    <xf numFmtId="0" fontId="2" fillId="0" borderId="0"/>
    <xf numFmtId="167" fontId="16" fillId="0" borderId="0" applyFont="0" applyFill="0" applyBorder="0" applyAlignment="0" applyProtection="0"/>
    <xf numFmtId="0" fontId="17" fillId="4" borderId="3"/>
    <xf numFmtId="0" fontId="17" fillId="5" borderId="3"/>
    <xf numFmtId="0" fontId="18" fillId="4" borderId="3"/>
    <xf numFmtId="0" fontId="2" fillId="2" borderId="3"/>
    <xf numFmtId="0" fontId="2" fillId="2" borderId="3"/>
    <xf numFmtId="0" fontId="17" fillId="0" borderId="3"/>
    <xf numFmtId="0" fontId="9" fillId="3" borderId="3">
      <alignment textRotation="45"/>
    </xf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3" fontId="16" fillId="0" borderId="0" applyFont="0" applyFill="0" applyBorder="0" applyAlignment="0" applyProtection="0"/>
    <xf numFmtId="167" fontId="20" fillId="0" borderId="0" applyNumberFormat="0" applyFill="0" applyBorder="0" applyAlignment="0" applyProtection="0"/>
    <xf numFmtId="167" fontId="21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16" fillId="0" borderId="0" applyFont="0" applyFill="0" applyBorder="0" applyAlignment="0" applyProtection="0"/>
    <xf numFmtId="2" fontId="16" fillId="0" borderId="0" applyFont="0" applyFill="0" applyBorder="0" applyAlignment="0" applyProtection="0"/>
  </cellStyleXfs>
  <cellXfs count="179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2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/>
    </xf>
    <xf numFmtId="2" fontId="3" fillId="3" borderId="4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2" borderId="6" xfId="0" applyNumberFormat="1" applyFont="1" applyFill="1" applyBorder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/>
    </xf>
    <xf numFmtId="49" fontId="5" fillId="2" borderId="0" xfId="0" applyNumberFormat="1" applyFont="1" applyFill="1" applyAlignment="1">
      <alignment horizontal="center" vertical="center"/>
    </xf>
    <xf numFmtId="2" fontId="3" fillId="3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3" xfId="0" applyFont="1" applyBorder="1"/>
    <xf numFmtId="0" fontId="3" fillId="2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166" fontId="5" fillId="2" borderId="4" xfId="0" applyNumberFormat="1" applyFont="1" applyFill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left" vertical="center" wrapText="1"/>
    </xf>
    <xf numFmtId="49" fontId="3" fillId="3" borderId="3" xfId="0" applyNumberFormat="1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166" fontId="3" fillId="3" borderId="3" xfId="0" applyNumberFormat="1" applyFont="1" applyFill="1" applyBorder="1" applyAlignment="1">
      <alignment horizontal="center" vertical="center" wrapText="1"/>
    </xf>
    <xf numFmtId="2" fontId="3" fillId="3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49" fontId="3" fillId="2" borderId="0" xfId="0" applyNumberFormat="1" applyFont="1" applyFill="1" applyAlignment="1">
      <alignment vertical="center"/>
    </xf>
    <xf numFmtId="49" fontId="3" fillId="2" borderId="0" xfId="0" quotePrefix="1" applyNumberFormat="1" applyFont="1" applyFill="1" applyAlignment="1">
      <alignment horizontal="left" vertical="center"/>
    </xf>
    <xf numFmtId="49" fontId="3" fillId="2" borderId="5" xfId="0" applyNumberFormat="1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49" fontId="5" fillId="2" borderId="0" xfId="0" applyNumberFormat="1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0" fillId="3" borderId="3" xfId="0" applyFont="1" applyFill="1" applyBorder="1" applyAlignment="1">
      <alignment horizontal="center" vertical="center" textRotation="180" wrapText="1"/>
    </xf>
    <xf numFmtId="0" fontId="5" fillId="0" borderId="0" xfId="0" applyFont="1" applyAlignment="1">
      <alignment horizontal="left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166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166" fontId="5" fillId="0" borderId="3" xfId="0" applyNumberFormat="1" applyFont="1" applyBorder="1" applyAlignment="1">
      <alignment vertical="center"/>
    </xf>
    <xf numFmtId="3" fontId="5" fillId="0" borderId="3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0" fontId="5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49" fontId="5" fillId="2" borderId="3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166" fontId="5" fillId="0" borderId="3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2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vertical="center"/>
    </xf>
    <xf numFmtId="49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3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49" fontId="5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6" fontId="5" fillId="3" borderId="3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9" fontId="5" fillId="0" borderId="3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49" fontId="14" fillId="0" borderId="0" xfId="0" applyNumberFormat="1" applyFont="1" applyAlignment="1">
      <alignment horizontal="center"/>
    </xf>
    <xf numFmtId="49" fontId="1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49" fontId="12" fillId="0" borderId="0" xfId="0" quotePrefix="1" applyNumberFormat="1" applyFont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textRotation="90" wrapText="1"/>
    </xf>
    <xf numFmtId="0" fontId="13" fillId="0" borderId="3" xfId="0" applyFont="1" applyBorder="1" applyAlignment="1">
      <alignment horizontal="center" vertical="center" textRotation="90" wrapText="1"/>
    </xf>
    <xf numFmtId="49" fontId="13" fillId="0" borderId="3" xfId="0" applyNumberFormat="1" applyFont="1" applyBorder="1" applyAlignment="1">
      <alignment horizontal="center" vertical="center" textRotation="90" wrapText="1"/>
    </xf>
    <xf numFmtId="22" fontId="12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9" fontId="14" fillId="0" borderId="11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textRotation="90" wrapText="1"/>
    </xf>
    <xf numFmtId="164" fontId="12" fillId="0" borderId="5" xfId="0" applyNumberFormat="1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170" fontId="4" fillId="0" borderId="3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0" xfId="0" quotePrefix="1" applyFont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 textRotation="90" wrapText="1"/>
    </xf>
    <xf numFmtId="0" fontId="12" fillId="0" borderId="14" xfId="0" applyFont="1" applyBorder="1" applyAlignment="1">
      <alignment horizontal="center" vertical="center" textRotation="90" wrapText="1"/>
    </xf>
    <xf numFmtId="2" fontId="4" fillId="0" borderId="3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3" fillId="0" borderId="0" xfId="0" quotePrefix="1" applyFont="1" applyAlignment="1">
      <alignment horizontal="left" vertical="center"/>
    </xf>
    <xf numFmtId="164" fontId="3" fillId="0" borderId="5" xfId="0" applyNumberFormat="1" applyFont="1" applyBorder="1" applyAlignment="1">
      <alignment horizontal="left" vertical="center"/>
    </xf>
    <xf numFmtId="164" fontId="3" fillId="0" borderId="7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49" fontId="14" fillId="0" borderId="3" xfId="0" applyNumberFormat="1" applyFont="1" applyBorder="1" applyAlignment="1">
      <alignment horizontal="center" vertical="center"/>
    </xf>
  </cellXfs>
  <cellStyles count="117">
    <cellStyle name="Datum" xfId="3" xr:uid="{00000000-0005-0000-0000-000000000000}"/>
    <cellStyle name="EplDataBaseStyle" xfId="4" xr:uid="{00000000-0005-0000-0000-000001000000}"/>
    <cellStyle name="EplDataHDStyle" xfId="5" xr:uid="{00000000-0005-0000-0000-000002000000}"/>
    <cellStyle name="EplDataIDStyle" xfId="6" xr:uid="{00000000-0005-0000-0000-000003000000}"/>
    <cellStyle name="EplDataROStyle" xfId="7" xr:uid="{00000000-0005-0000-0000-000004000000}"/>
    <cellStyle name="EplDataROStyle 2" xfId="8" xr:uid="{00000000-0005-0000-0000-000005000000}"/>
    <cellStyle name="EplDataRWStyle" xfId="9" xr:uid="{00000000-0005-0000-0000-000006000000}"/>
    <cellStyle name="EplHeaderStyle" xfId="10" xr:uid="{00000000-0005-0000-0000-000007000000}"/>
    <cellStyle name="Euro" xfId="1" xr:uid="{00000000-0005-0000-0000-000008000000}"/>
    <cellStyle name="Euro 2" xfId="11" xr:uid="{00000000-0005-0000-0000-000009000000}"/>
    <cellStyle name="Euro 2 2" xfId="12" xr:uid="{00000000-0005-0000-0000-00000A000000}"/>
    <cellStyle name="Euro 2 2 2" xfId="13" xr:uid="{00000000-0005-0000-0000-00000B000000}"/>
    <cellStyle name="Euro 2 3" xfId="14" xr:uid="{00000000-0005-0000-0000-00000C000000}"/>
    <cellStyle name="Euro 3" xfId="15" xr:uid="{00000000-0005-0000-0000-00000D000000}"/>
    <cellStyle name="Euro 3 2" xfId="16" xr:uid="{00000000-0005-0000-0000-00000E000000}"/>
    <cellStyle name="Euro 3 2 2" xfId="17" xr:uid="{00000000-0005-0000-0000-00000F000000}"/>
    <cellStyle name="Euro 3 3" xfId="18" xr:uid="{00000000-0005-0000-0000-000010000000}"/>
    <cellStyle name="Euro 3 3 2" xfId="19" xr:uid="{00000000-0005-0000-0000-000011000000}"/>
    <cellStyle name="Euro 3 4" xfId="20" xr:uid="{00000000-0005-0000-0000-000012000000}"/>
    <cellStyle name="Euro 4" xfId="21" xr:uid="{00000000-0005-0000-0000-000013000000}"/>
    <cellStyle name="Euro 4 2" xfId="22" xr:uid="{00000000-0005-0000-0000-000014000000}"/>
    <cellStyle name="Euro 4 2 2" xfId="23" xr:uid="{00000000-0005-0000-0000-000015000000}"/>
    <cellStyle name="Euro 4 3" xfId="24" xr:uid="{00000000-0005-0000-0000-000016000000}"/>
    <cellStyle name="Euro 4 3 2" xfId="25" xr:uid="{00000000-0005-0000-0000-000017000000}"/>
    <cellStyle name="Euro 4 4" xfId="26" xr:uid="{00000000-0005-0000-0000-000018000000}"/>
    <cellStyle name="Euro 5" xfId="27" xr:uid="{00000000-0005-0000-0000-000019000000}"/>
    <cellStyle name="Euro 5 2" xfId="28" xr:uid="{00000000-0005-0000-0000-00001A000000}"/>
    <cellStyle name="Euro 6" xfId="29" xr:uid="{00000000-0005-0000-0000-00001B000000}"/>
    <cellStyle name="Euro 6 2" xfId="30" xr:uid="{00000000-0005-0000-0000-00001C000000}"/>
    <cellStyle name="Euro 7" xfId="31" xr:uid="{00000000-0005-0000-0000-00001D000000}"/>
    <cellStyle name="Euro 7 2" xfId="32" xr:uid="{00000000-0005-0000-0000-00001E000000}"/>
    <cellStyle name="Hyperlink 2" xfId="33" xr:uid="{00000000-0005-0000-0000-00001F000000}"/>
    <cellStyle name="Hyperlink 2 2" xfId="34" xr:uid="{00000000-0005-0000-0000-000020000000}"/>
    <cellStyle name="Hyperlink 2 3" xfId="35" xr:uid="{00000000-0005-0000-0000-000021000000}"/>
    <cellStyle name="Komma0" xfId="36" xr:uid="{00000000-0005-0000-0000-000022000000}"/>
    <cellStyle name="Koptekst 1" xfId="37" xr:uid="{00000000-0005-0000-0000-000023000000}"/>
    <cellStyle name="Koptekst 2" xfId="38" xr:uid="{00000000-0005-0000-0000-000024000000}"/>
    <cellStyle name="Procent 2" xfId="39" xr:uid="{00000000-0005-0000-0000-000025000000}"/>
    <cellStyle name="Procent 2 2" xfId="40" xr:uid="{00000000-0005-0000-0000-000026000000}"/>
    <cellStyle name="Procent 2 2 2" xfId="41" xr:uid="{00000000-0005-0000-0000-000027000000}"/>
    <cellStyle name="Procent 2 3" xfId="42" xr:uid="{00000000-0005-0000-0000-000028000000}"/>
    <cellStyle name="Procent 3" xfId="43" xr:uid="{00000000-0005-0000-0000-000029000000}"/>
    <cellStyle name="Procent 3 2" xfId="44" xr:uid="{00000000-0005-0000-0000-00002A000000}"/>
    <cellStyle name="Procent 3 2 2" xfId="45" xr:uid="{00000000-0005-0000-0000-00002B000000}"/>
    <cellStyle name="Procent 3 3" xfId="46" xr:uid="{00000000-0005-0000-0000-00002C000000}"/>
    <cellStyle name="Procent 3 3 2" xfId="47" xr:uid="{00000000-0005-0000-0000-00002D000000}"/>
    <cellStyle name="Procent 3 4" xfId="48" xr:uid="{00000000-0005-0000-0000-00002E000000}"/>
    <cellStyle name="Procent 4" xfId="49" xr:uid="{00000000-0005-0000-0000-00002F000000}"/>
    <cellStyle name="Procent 4 2" xfId="50" xr:uid="{00000000-0005-0000-0000-000030000000}"/>
    <cellStyle name="Procent 4 2 2" xfId="51" xr:uid="{00000000-0005-0000-0000-000031000000}"/>
    <cellStyle name="Procent 4 3" xfId="52" xr:uid="{00000000-0005-0000-0000-000032000000}"/>
    <cellStyle name="Procent 4 3 2" xfId="53" xr:uid="{00000000-0005-0000-0000-000033000000}"/>
    <cellStyle name="Procent 4 4" xfId="54" xr:uid="{00000000-0005-0000-0000-000034000000}"/>
    <cellStyle name="Procent 5" xfId="55" xr:uid="{00000000-0005-0000-0000-000035000000}"/>
    <cellStyle name="Procent 5 2" xfId="56" xr:uid="{00000000-0005-0000-0000-000036000000}"/>
    <cellStyle name="Procent 6" xfId="57" xr:uid="{00000000-0005-0000-0000-000037000000}"/>
    <cellStyle name="Procent 6 2" xfId="58" xr:uid="{00000000-0005-0000-0000-000038000000}"/>
    <cellStyle name="Procent 7" xfId="59" xr:uid="{00000000-0005-0000-0000-000039000000}"/>
    <cellStyle name="Procent 7 2" xfId="60" xr:uid="{00000000-0005-0000-0000-00003A000000}"/>
    <cellStyle name="Procent 8" xfId="61" xr:uid="{00000000-0005-0000-0000-00003B000000}"/>
    <cellStyle name="Standaard" xfId="0" builtinId="0"/>
    <cellStyle name="Standaard 2" xfId="2" xr:uid="{00000000-0005-0000-0000-00003D000000}"/>
    <cellStyle name="Standaard 2 2" xfId="62" xr:uid="{00000000-0005-0000-0000-00003E000000}"/>
    <cellStyle name="Standaard 3" xfId="63" xr:uid="{00000000-0005-0000-0000-00003F000000}"/>
    <cellStyle name="Standaard 3 2" xfId="64" xr:uid="{00000000-0005-0000-0000-000040000000}"/>
    <cellStyle name="Standaard 3 2 2" xfId="65" xr:uid="{00000000-0005-0000-0000-000041000000}"/>
    <cellStyle name="Standaard 3 2 2 2" xfId="66" xr:uid="{00000000-0005-0000-0000-000042000000}"/>
    <cellStyle name="Standaard 3 2 2 2 2" xfId="67" xr:uid="{00000000-0005-0000-0000-000043000000}"/>
    <cellStyle name="Standaard 3 2 2 3" xfId="68" xr:uid="{00000000-0005-0000-0000-000044000000}"/>
    <cellStyle name="Standaard 3 2 3" xfId="69" xr:uid="{00000000-0005-0000-0000-000045000000}"/>
    <cellStyle name="Standaard 3 2 3 2" xfId="70" xr:uid="{00000000-0005-0000-0000-000046000000}"/>
    <cellStyle name="Standaard 3 2 4" xfId="71" xr:uid="{00000000-0005-0000-0000-000047000000}"/>
    <cellStyle name="Standaard 3 3" xfId="72" xr:uid="{00000000-0005-0000-0000-000048000000}"/>
    <cellStyle name="Standaard 3 3 2" xfId="73" xr:uid="{00000000-0005-0000-0000-000049000000}"/>
    <cellStyle name="Standaard 3 3 2 2" xfId="74" xr:uid="{00000000-0005-0000-0000-00004A000000}"/>
    <cellStyle name="Standaard 3 3 3" xfId="75" xr:uid="{00000000-0005-0000-0000-00004B000000}"/>
    <cellStyle name="Standaard 3 4" xfId="76" xr:uid="{00000000-0005-0000-0000-00004C000000}"/>
    <cellStyle name="Standaard 3 4 2" xfId="77" xr:uid="{00000000-0005-0000-0000-00004D000000}"/>
    <cellStyle name="Standaard 3 5" xfId="78" xr:uid="{00000000-0005-0000-0000-00004E000000}"/>
    <cellStyle name="Standaard 4" xfId="79" xr:uid="{00000000-0005-0000-0000-00004F000000}"/>
    <cellStyle name="Standaard 4 2" xfId="80" xr:uid="{00000000-0005-0000-0000-000050000000}"/>
    <cellStyle name="Standaard 4 2 2" xfId="81" xr:uid="{00000000-0005-0000-0000-000051000000}"/>
    <cellStyle name="Standaard 4 3" xfId="82" xr:uid="{00000000-0005-0000-0000-000052000000}"/>
    <cellStyle name="Standaard 5" xfId="83" xr:uid="{00000000-0005-0000-0000-000053000000}"/>
    <cellStyle name="Standaard 6" xfId="84" xr:uid="{00000000-0005-0000-0000-000054000000}"/>
    <cellStyle name="Standaard 6 2" xfId="85" xr:uid="{00000000-0005-0000-0000-000055000000}"/>
    <cellStyle name="Standaard 6 2 2" xfId="86" xr:uid="{00000000-0005-0000-0000-000056000000}"/>
    <cellStyle name="Standaard 6 3" xfId="87" xr:uid="{00000000-0005-0000-0000-000057000000}"/>
    <cellStyle name="Standaard 7" xfId="88" xr:uid="{00000000-0005-0000-0000-000058000000}"/>
    <cellStyle name="Standaard 7 2" xfId="89" xr:uid="{00000000-0005-0000-0000-000059000000}"/>
    <cellStyle name="Standaard 7 2 2" xfId="90" xr:uid="{00000000-0005-0000-0000-00005A000000}"/>
    <cellStyle name="Standaard 7 3" xfId="91" xr:uid="{00000000-0005-0000-0000-00005B000000}"/>
    <cellStyle name="Valuta 2" xfId="92" xr:uid="{00000000-0005-0000-0000-00005C000000}"/>
    <cellStyle name="Valuta 2 2" xfId="93" xr:uid="{00000000-0005-0000-0000-00005D000000}"/>
    <cellStyle name="Valuta 2 2 2" xfId="94" xr:uid="{00000000-0005-0000-0000-00005E000000}"/>
    <cellStyle name="Valuta 2 3" xfId="95" xr:uid="{00000000-0005-0000-0000-00005F000000}"/>
    <cellStyle name="Valuta 3" xfId="96" xr:uid="{00000000-0005-0000-0000-000060000000}"/>
    <cellStyle name="Valuta 3 2" xfId="97" xr:uid="{00000000-0005-0000-0000-000061000000}"/>
    <cellStyle name="Valuta 3 2 2" xfId="98" xr:uid="{00000000-0005-0000-0000-000062000000}"/>
    <cellStyle name="Valuta 3 3" xfId="99" xr:uid="{00000000-0005-0000-0000-000063000000}"/>
    <cellStyle name="Valuta 3 3 2" xfId="100" xr:uid="{00000000-0005-0000-0000-000064000000}"/>
    <cellStyle name="Valuta 3 4" xfId="101" xr:uid="{00000000-0005-0000-0000-000065000000}"/>
    <cellStyle name="Valuta 4" xfId="102" xr:uid="{00000000-0005-0000-0000-000066000000}"/>
    <cellStyle name="Valuta 4 2" xfId="103" xr:uid="{00000000-0005-0000-0000-000067000000}"/>
    <cellStyle name="Valuta 4 2 2" xfId="104" xr:uid="{00000000-0005-0000-0000-000068000000}"/>
    <cellStyle name="Valuta 4 3" xfId="105" xr:uid="{00000000-0005-0000-0000-000069000000}"/>
    <cellStyle name="Valuta 4 3 2" xfId="106" xr:uid="{00000000-0005-0000-0000-00006A000000}"/>
    <cellStyle name="Valuta 4 4" xfId="107" xr:uid="{00000000-0005-0000-0000-00006B000000}"/>
    <cellStyle name="Valuta 5" xfId="108" xr:uid="{00000000-0005-0000-0000-00006C000000}"/>
    <cellStyle name="Valuta 5 2" xfId="109" xr:uid="{00000000-0005-0000-0000-00006D000000}"/>
    <cellStyle name="Valuta 6" xfId="110" xr:uid="{00000000-0005-0000-0000-00006E000000}"/>
    <cellStyle name="Valuta 6 2" xfId="111" xr:uid="{00000000-0005-0000-0000-00006F000000}"/>
    <cellStyle name="Valuta 7" xfId="112" xr:uid="{00000000-0005-0000-0000-000070000000}"/>
    <cellStyle name="Valuta 7 2" xfId="113" xr:uid="{00000000-0005-0000-0000-000071000000}"/>
    <cellStyle name="Valuta 8" xfId="114" xr:uid="{00000000-0005-0000-0000-000072000000}"/>
    <cellStyle name="Valuta0" xfId="115" xr:uid="{00000000-0005-0000-0000-000073000000}"/>
    <cellStyle name="Vast" xfId="116" xr:uid="{00000000-0005-0000-0000-00007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3">
    <pageSetUpPr fitToPage="1"/>
  </sheetPr>
  <dimension ref="A1:V62"/>
  <sheetViews>
    <sheetView tabSelected="1" zoomScale="115" zoomScaleNormal="115" workbookViewId="0">
      <pane xSplit="8" ySplit="5" topLeftCell="I6" activePane="bottomRight" state="frozen"/>
      <selection pane="topRight" activeCell="M1" sqref="M1"/>
      <selection pane="bottomLeft" activeCell="A8" sqref="A8"/>
      <selection pane="bottomRight" activeCell="B9" sqref="B9"/>
    </sheetView>
  </sheetViews>
  <sheetFormatPr defaultRowHeight="10.5" outlineLevelCol="1" x14ac:dyDescent="0.15"/>
  <cols>
    <col min="1" max="1" width="9.140625" style="118" bestFit="1" customWidth="1"/>
    <col min="2" max="2" width="13.7109375" style="118" bestFit="1" customWidth="1"/>
    <col min="3" max="3" width="3.7109375" style="119" bestFit="1" customWidth="1"/>
    <col min="4" max="4" width="9" style="119" bestFit="1" customWidth="1"/>
    <col min="5" max="7" width="4.85546875" style="119" bestFit="1" customWidth="1"/>
    <col min="8" max="8" width="8.28515625" style="119" customWidth="1"/>
    <col min="9" max="9" width="12" style="119" bestFit="1" customWidth="1"/>
    <col min="10" max="10" width="11.85546875" style="119" bestFit="1" customWidth="1"/>
    <col min="11" max="11" width="16" style="119" bestFit="1" customWidth="1"/>
    <col min="12" max="12" width="16" style="118" bestFit="1" customWidth="1"/>
    <col min="13" max="13" width="70.7109375" style="118" bestFit="1" customWidth="1"/>
    <col min="14" max="14" width="7.28515625" style="129" customWidth="1" outlineLevel="1"/>
    <col min="15" max="17" width="7.28515625" style="130" customWidth="1" outlineLevel="1"/>
    <col min="18" max="18" width="6.42578125" style="130" customWidth="1" outlineLevel="1"/>
    <col min="19" max="19" width="7.28515625" style="154" bestFit="1" customWidth="1"/>
    <col min="20" max="20" width="7.28515625" style="118" bestFit="1" customWidth="1"/>
    <col min="21" max="21" width="9" style="118" bestFit="1" customWidth="1"/>
    <col min="22" max="22" width="10.140625" style="118" bestFit="1" customWidth="1"/>
    <col min="23" max="16384" width="9.140625" style="118"/>
  </cols>
  <sheetData>
    <row r="1" spans="1:22" s="122" customFormat="1" x14ac:dyDescent="0.2">
      <c r="A1" s="159" t="s">
        <v>97</v>
      </c>
      <c r="B1" s="136" t="s">
        <v>278</v>
      </c>
      <c r="C1" s="136"/>
      <c r="D1" s="136"/>
      <c r="E1" s="136"/>
      <c r="F1" s="136"/>
      <c r="G1" s="136"/>
      <c r="H1" s="136"/>
      <c r="I1" s="137"/>
      <c r="J1" s="137"/>
      <c r="K1" s="137"/>
      <c r="L1" s="136"/>
      <c r="M1" s="144"/>
      <c r="N1" s="145"/>
      <c r="O1" s="145"/>
      <c r="P1" s="145"/>
      <c r="Q1" s="145"/>
      <c r="R1" s="146"/>
      <c r="S1" s="151"/>
    </row>
    <row r="2" spans="1:22" s="120" customFormat="1" x14ac:dyDescent="0.2">
      <c r="A2" s="160" t="s">
        <v>96</v>
      </c>
      <c r="B2" s="161"/>
      <c r="C2" s="161"/>
      <c r="D2" s="161"/>
      <c r="E2" s="161"/>
      <c r="F2" s="161"/>
      <c r="G2" s="161"/>
      <c r="H2" s="161"/>
      <c r="I2" s="138"/>
      <c r="J2" s="138"/>
      <c r="K2" s="138"/>
      <c r="N2" s="121"/>
      <c r="O2" s="123"/>
      <c r="P2" s="123"/>
      <c r="Q2" s="123"/>
      <c r="R2" s="147"/>
      <c r="S2" s="152"/>
    </row>
    <row r="3" spans="1:22" s="120" customFormat="1" x14ac:dyDescent="0.2">
      <c r="A3" s="139" t="s">
        <v>95</v>
      </c>
      <c r="B3" s="156">
        <v>45994</v>
      </c>
      <c r="C3" s="156"/>
      <c r="D3" s="156"/>
      <c r="E3" s="156"/>
      <c r="F3" s="156"/>
      <c r="G3" s="156"/>
      <c r="H3" s="156"/>
      <c r="I3" s="131"/>
      <c r="J3" s="131"/>
      <c r="K3" s="131"/>
      <c r="L3" s="157"/>
      <c r="M3" s="157"/>
      <c r="N3" s="148"/>
      <c r="O3" s="149"/>
      <c r="P3" s="149"/>
      <c r="Q3" s="149"/>
      <c r="R3" s="150"/>
      <c r="S3" s="152"/>
    </row>
    <row r="4" spans="1:22" s="132" customFormat="1" ht="56.25" customHeight="1" x14ac:dyDescent="0.2">
      <c r="A4" s="140" t="s">
        <v>37</v>
      </c>
      <c r="B4" s="140" t="s">
        <v>38</v>
      </c>
      <c r="C4" s="162" t="s">
        <v>254</v>
      </c>
      <c r="D4" s="141" t="s">
        <v>255</v>
      </c>
      <c r="E4" s="162" t="s">
        <v>256</v>
      </c>
      <c r="F4" s="162" t="s">
        <v>257</v>
      </c>
      <c r="G4" s="162" t="s">
        <v>258</v>
      </c>
      <c r="H4" s="162" t="s">
        <v>259</v>
      </c>
      <c r="I4" s="141" t="s">
        <v>109</v>
      </c>
      <c r="J4" s="141"/>
      <c r="K4" s="141"/>
      <c r="L4" s="141" t="s">
        <v>82</v>
      </c>
      <c r="M4" s="141" t="s">
        <v>84</v>
      </c>
      <c r="N4" s="142" t="s">
        <v>162</v>
      </c>
      <c r="O4" s="143" t="s">
        <v>163</v>
      </c>
      <c r="P4" s="143" t="s">
        <v>164</v>
      </c>
      <c r="Q4" s="143" t="s">
        <v>165</v>
      </c>
      <c r="R4" s="143" t="s">
        <v>234</v>
      </c>
      <c r="S4" s="163" t="s">
        <v>240</v>
      </c>
      <c r="T4" s="141" t="s">
        <v>237</v>
      </c>
      <c r="U4" s="141" t="s">
        <v>238</v>
      </c>
      <c r="V4" s="155" t="s">
        <v>239</v>
      </c>
    </row>
    <row r="5" spans="1:22" s="133" customFormat="1" ht="10.5" customHeight="1" x14ac:dyDescent="0.2">
      <c r="A5" s="126" t="s">
        <v>62</v>
      </c>
      <c r="B5" s="126" t="s">
        <v>62</v>
      </c>
      <c r="C5" s="127"/>
      <c r="D5" s="126" t="s">
        <v>62</v>
      </c>
      <c r="E5" s="127"/>
      <c r="F5" s="127"/>
      <c r="G5" s="127"/>
      <c r="H5" s="178">
        <f>SUM(H6:H31)</f>
        <v>19</v>
      </c>
      <c r="I5" s="127"/>
      <c r="J5" s="127"/>
      <c r="K5" s="127"/>
      <c r="L5" s="126" t="s">
        <v>62</v>
      </c>
      <c r="M5" s="126" t="s">
        <v>81</v>
      </c>
      <c r="N5" s="124">
        <f t="shared" ref="N5:U5" si="0">SUBTOTAL(9,N6:N772)</f>
        <v>5</v>
      </c>
      <c r="O5" s="124">
        <f t="shared" si="0"/>
        <v>4</v>
      </c>
      <c r="P5" s="124">
        <f t="shared" si="0"/>
        <v>7</v>
      </c>
      <c r="Q5" s="124">
        <f t="shared" si="0"/>
        <v>3</v>
      </c>
      <c r="R5" s="124">
        <f t="shared" si="0"/>
        <v>125</v>
      </c>
      <c r="S5" s="124">
        <f t="shared" si="0"/>
        <v>0</v>
      </c>
      <c r="T5" s="124">
        <f t="shared" si="0"/>
        <v>0</v>
      </c>
      <c r="U5" s="124">
        <f t="shared" si="0"/>
        <v>0</v>
      </c>
      <c r="V5" s="125"/>
    </row>
    <row r="6" spans="1:22" s="120" customFormat="1" ht="10.5" customHeight="1" x14ac:dyDescent="0.2">
      <c r="A6" s="126" t="s">
        <v>250</v>
      </c>
      <c r="B6" s="126" t="str">
        <f>CONCATENATE(C6,D6,E6,F6,G6)</f>
        <v/>
      </c>
      <c r="C6" s="127"/>
      <c r="D6" s="127"/>
      <c r="E6" s="127"/>
      <c r="F6" s="127"/>
      <c r="G6" s="127"/>
      <c r="H6" s="127"/>
      <c r="I6" s="126" t="s">
        <v>225</v>
      </c>
      <c r="J6" s="126"/>
      <c r="K6" s="126"/>
      <c r="L6" s="126" t="s">
        <v>224</v>
      </c>
      <c r="M6" s="126" t="s">
        <v>279</v>
      </c>
      <c r="N6" s="128"/>
      <c r="O6" s="128"/>
      <c r="P6" s="128"/>
      <c r="Q6" s="128"/>
      <c r="R6" s="128"/>
      <c r="S6" s="153"/>
      <c r="T6" s="126"/>
      <c r="U6" s="126"/>
      <c r="V6" s="134"/>
    </row>
    <row r="7" spans="1:22" s="120" customFormat="1" ht="10.5" customHeight="1" x14ac:dyDescent="0.2">
      <c r="A7" s="126" t="s">
        <v>248</v>
      </c>
      <c r="B7" s="126" t="str">
        <f t="shared" ref="B7:B30" si="1">CONCATENATE(C7,D7,E7,F7,G7)</f>
        <v/>
      </c>
      <c r="C7" s="127"/>
      <c r="D7" s="127"/>
      <c r="E7" s="127"/>
      <c r="F7" s="127"/>
      <c r="G7" s="127"/>
      <c r="H7" s="127"/>
      <c r="I7" s="126" t="s">
        <v>225</v>
      </c>
      <c r="J7" s="126"/>
      <c r="K7" s="126"/>
      <c r="L7" s="126" t="s">
        <v>274</v>
      </c>
      <c r="M7" s="126" t="s">
        <v>273</v>
      </c>
      <c r="N7" s="128"/>
      <c r="O7" s="128"/>
      <c r="P7" s="128"/>
      <c r="Q7" s="128"/>
      <c r="R7" s="128"/>
      <c r="S7" s="153"/>
      <c r="T7" s="126"/>
      <c r="U7" s="126"/>
      <c r="V7" s="134"/>
    </row>
    <row r="8" spans="1:22" s="120" customFormat="1" ht="10.5" customHeight="1" x14ac:dyDescent="0.2">
      <c r="A8" s="126" t="s">
        <v>248</v>
      </c>
      <c r="B8" s="126"/>
      <c r="C8" s="127"/>
      <c r="D8" s="127"/>
      <c r="E8" s="127"/>
      <c r="F8" s="127"/>
      <c r="G8" s="127"/>
      <c r="H8" s="124"/>
      <c r="I8" s="126" t="s">
        <v>225</v>
      </c>
      <c r="J8" s="126"/>
      <c r="K8" s="126"/>
      <c r="L8" s="126" t="s">
        <v>275</v>
      </c>
      <c r="M8" s="126" t="s">
        <v>277</v>
      </c>
      <c r="N8" s="128"/>
      <c r="O8" s="128"/>
      <c r="P8" s="128"/>
      <c r="Q8" s="128"/>
      <c r="R8" s="128"/>
      <c r="S8" s="153"/>
      <c r="T8" s="126"/>
      <c r="U8" s="126"/>
      <c r="V8" s="134"/>
    </row>
    <row r="9" spans="1:22" s="120" customFormat="1" ht="10.5" customHeight="1" x14ac:dyDescent="0.2">
      <c r="A9" s="126" t="s">
        <v>248</v>
      </c>
      <c r="B9" s="126"/>
      <c r="C9" s="127"/>
      <c r="D9" s="127"/>
      <c r="E9" s="127"/>
      <c r="F9" s="127"/>
      <c r="G9" s="127"/>
      <c r="H9" s="127"/>
      <c r="I9" s="126" t="s">
        <v>225</v>
      </c>
      <c r="J9" s="126"/>
      <c r="K9" s="126"/>
      <c r="L9" s="126" t="s">
        <v>276</v>
      </c>
      <c r="M9" s="126" t="s">
        <v>277</v>
      </c>
      <c r="N9" s="128"/>
      <c r="O9" s="128"/>
      <c r="P9" s="128"/>
      <c r="Q9" s="128"/>
      <c r="R9" s="128"/>
      <c r="S9" s="153"/>
      <c r="T9" s="126"/>
      <c r="U9" s="126"/>
      <c r="V9" s="134"/>
    </row>
    <row r="10" spans="1:22" s="120" customFormat="1" ht="10.5" customHeight="1" x14ac:dyDescent="0.2">
      <c r="A10" s="126" t="s">
        <v>248</v>
      </c>
      <c r="B10" s="126" t="str">
        <f t="shared" si="1"/>
        <v>0001EM01</v>
      </c>
      <c r="C10" s="127" t="s">
        <v>260</v>
      </c>
      <c r="D10" s="127" t="s">
        <v>233</v>
      </c>
      <c r="E10" s="127" t="s">
        <v>261</v>
      </c>
      <c r="F10" s="127" t="s">
        <v>262</v>
      </c>
      <c r="G10" s="127" t="s">
        <v>119</v>
      </c>
      <c r="H10" s="128">
        <v>1</v>
      </c>
      <c r="I10" s="126" t="s">
        <v>225</v>
      </c>
      <c r="J10" s="126"/>
      <c r="K10" s="126"/>
      <c r="L10" s="126" t="s">
        <v>253</v>
      </c>
      <c r="M10" s="126" t="s">
        <v>280</v>
      </c>
      <c r="N10" s="128"/>
      <c r="O10" s="128"/>
      <c r="P10" s="128"/>
      <c r="Q10" s="128"/>
      <c r="R10" s="128">
        <v>100</v>
      </c>
      <c r="S10" s="153"/>
      <c r="T10" s="126"/>
      <c r="U10" s="126"/>
      <c r="V10" s="134"/>
    </row>
    <row r="11" spans="1:22" s="120" customFormat="1" ht="10.5" customHeight="1" x14ac:dyDescent="0.2">
      <c r="A11" s="126" t="s">
        <v>248</v>
      </c>
      <c r="B11" s="126" t="str">
        <f t="shared" si="1"/>
        <v>0002RS01</v>
      </c>
      <c r="C11" s="127" t="s">
        <v>260</v>
      </c>
      <c r="D11" s="127" t="s">
        <v>233</v>
      </c>
      <c r="E11" s="127" t="s">
        <v>267</v>
      </c>
      <c r="F11" s="127" t="s">
        <v>263</v>
      </c>
      <c r="G11" s="127" t="s">
        <v>119</v>
      </c>
      <c r="H11" s="127"/>
      <c r="I11" s="126" t="s">
        <v>225</v>
      </c>
      <c r="J11" s="126"/>
      <c r="K11" s="126"/>
      <c r="L11" s="126" t="s">
        <v>235</v>
      </c>
      <c r="M11" s="126"/>
      <c r="N11" s="128"/>
      <c r="O11" s="128"/>
      <c r="P11" s="128">
        <v>1</v>
      </c>
      <c r="Q11" s="128"/>
      <c r="R11" s="128"/>
      <c r="S11" s="153"/>
      <c r="T11" s="126"/>
      <c r="U11" s="126"/>
      <c r="V11" s="134"/>
    </row>
    <row r="12" spans="1:22" s="120" customFormat="1" ht="10.5" customHeight="1" x14ac:dyDescent="0.2">
      <c r="A12" s="126" t="s">
        <v>248</v>
      </c>
      <c r="B12" s="126" t="str">
        <f t="shared" si="1"/>
        <v>0002SA01</v>
      </c>
      <c r="C12" s="127" t="s">
        <v>260</v>
      </c>
      <c r="D12" s="127" t="s">
        <v>233</v>
      </c>
      <c r="E12" s="127" t="s">
        <v>267</v>
      </c>
      <c r="F12" s="127" t="s">
        <v>264</v>
      </c>
      <c r="G12" s="127" t="s">
        <v>119</v>
      </c>
      <c r="H12" s="127"/>
      <c r="I12" s="126" t="s">
        <v>225</v>
      </c>
      <c r="J12" s="126"/>
      <c r="K12" s="126"/>
      <c r="L12" s="126" t="s">
        <v>231</v>
      </c>
      <c r="M12" s="126"/>
      <c r="N12" s="128"/>
      <c r="O12" s="128"/>
      <c r="P12" s="128">
        <v>1</v>
      </c>
      <c r="Q12" s="128"/>
      <c r="R12" s="128"/>
      <c r="S12" s="153"/>
      <c r="T12" s="126"/>
      <c r="U12" s="126"/>
      <c r="V12" s="134"/>
    </row>
    <row r="13" spans="1:22" s="120" customFormat="1" ht="10.5" customHeight="1" x14ac:dyDescent="0.2">
      <c r="A13" s="126" t="s">
        <v>248</v>
      </c>
      <c r="B13" s="126" t="str">
        <f t="shared" si="1"/>
        <v>0002SA02</v>
      </c>
      <c r="C13" s="127" t="s">
        <v>260</v>
      </c>
      <c r="D13" s="127" t="s">
        <v>233</v>
      </c>
      <c r="E13" s="127" t="s">
        <v>267</v>
      </c>
      <c r="F13" s="127" t="s">
        <v>264</v>
      </c>
      <c r="G13" s="127" t="s">
        <v>120</v>
      </c>
      <c r="H13" s="127"/>
      <c r="I13" s="126" t="s">
        <v>225</v>
      </c>
      <c r="J13" s="126"/>
      <c r="K13" s="126"/>
      <c r="L13" s="126" t="s">
        <v>232</v>
      </c>
      <c r="M13" s="126"/>
      <c r="N13" s="128"/>
      <c r="O13" s="128"/>
      <c r="P13" s="128">
        <v>1</v>
      </c>
      <c r="Q13" s="128"/>
      <c r="R13" s="128"/>
      <c r="S13" s="153"/>
      <c r="T13" s="126"/>
      <c r="U13" s="126"/>
      <c r="V13" s="134"/>
    </row>
    <row r="14" spans="1:22" s="120" customFormat="1" ht="10.5" customHeight="1" x14ac:dyDescent="0.2">
      <c r="A14" s="126" t="s">
        <v>248</v>
      </c>
      <c r="B14" s="126" t="str">
        <f t="shared" si="1"/>
        <v>0002AN01</v>
      </c>
      <c r="C14" s="127" t="s">
        <v>260</v>
      </c>
      <c r="D14" s="127" t="s">
        <v>233</v>
      </c>
      <c r="E14" s="127" t="s">
        <v>267</v>
      </c>
      <c r="F14" s="127" t="s">
        <v>265</v>
      </c>
      <c r="G14" s="127" t="s">
        <v>119</v>
      </c>
      <c r="H14" s="127"/>
      <c r="I14" s="126" t="s">
        <v>225</v>
      </c>
      <c r="J14" s="126"/>
      <c r="K14" s="126"/>
      <c r="L14" s="126" t="s">
        <v>229</v>
      </c>
      <c r="M14" s="126" t="s">
        <v>241</v>
      </c>
      <c r="N14" s="128"/>
      <c r="O14" s="128"/>
      <c r="P14" s="128"/>
      <c r="Q14" s="128">
        <v>1</v>
      </c>
      <c r="R14" s="128"/>
      <c r="S14" s="153"/>
      <c r="T14" s="126"/>
      <c r="U14" s="126"/>
      <c r="V14" s="134"/>
    </row>
    <row r="15" spans="1:22" s="120" customFormat="1" ht="10.5" customHeight="1" x14ac:dyDescent="0.2">
      <c r="A15" s="126" t="s">
        <v>248</v>
      </c>
      <c r="B15" s="126" t="str">
        <f t="shared" si="1"/>
        <v>0002AU01</v>
      </c>
      <c r="C15" s="127" t="s">
        <v>260</v>
      </c>
      <c r="D15" s="127" t="s">
        <v>233</v>
      </c>
      <c r="E15" s="127" t="s">
        <v>267</v>
      </c>
      <c r="F15" s="127" t="s">
        <v>266</v>
      </c>
      <c r="G15" s="127" t="s">
        <v>119</v>
      </c>
      <c r="H15" s="127"/>
      <c r="I15" s="126" t="s">
        <v>225</v>
      </c>
      <c r="J15" s="126"/>
      <c r="K15" s="126"/>
      <c r="L15" s="126" t="s">
        <v>230</v>
      </c>
      <c r="M15" s="126" t="s">
        <v>241</v>
      </c>
      <c r="N15" s="128"/>
      <c r="O15" s="128"/>
      <c r="P15" s="128"/>
      <c r="Q15" s="128">
        <v>1</v>
      </c>
      <c r="R15" s="128"/>
      <c r="S15" s="153"/>
      <c r="T15" s="126"/>
      <c r="U15" s="126"/>
      <c r="V15" s="134"/>
    </row>
    <row r="16" spans="1:22" s="120" customFormat="1" ht="10.5" customHeight="1" x14ac:dyDescent="0.2">
      <c r="A16" s="126" t="s">
        <v>248</v>
      </c>
      <c r="B16" s="126" t="str">
        <f t="shared" si="1"/>
        <v>0002WD01</v>
      </c>
      <c r="C16" s="127" t="s">
        <v>260</v>
      </c>
      <c r="D16" s="127" t="s">
        <v>233</v>
      </c>
      <c r="E16" s="127" t="s">
        <v>267</v>
      </c>
      <c r="F16" s="127" t="s">
        <v>268</v>
      </c>
      <c r="G16" s="127" t="s">
        <v>119</v>
      </c>
      <c r="H16" s="128">
        <v>1</v>
      </c>
      <c r="I16" s="126" t="s">
        <v>225</v>
      </c>
      <c r="J16" s="126"/>
      <c r="K16" s="126"/>
      <c r="L16" s="126" t="s">
        <v>242</v>
      </c>
      <c r="M16" s="126" t="s">
        <v>290</v>
      </c>
      <c r="N16" s="128"/>
      <c r="O16" s="128"/>
      <c r="P16" s="128">
        <v>1</v>
      </c>
      <c r="Q16" s="128"/>
      <c r="R16" s="128"/>
      <c r="S16" s="153"/>
      <c r="T16" s="126"/>
      <c r="U16" s="126"/>
      <c r="V16" s="134"/>
    </row>
    <row r="17" spans="1:22" s="120" customFormat="1" ht="10.5" customHeight="1" x14ac:dyDescent="0.2">
      <c r="A17" s="126" t="s">
        <v>248</v>
      </c>
      <c r="B17" s="126" t="str">
        <f t="shared" si="1"/>
        <v>0002TT01</v>
      </c>
      <c r="C17" s="127" t="s">
        <v>260</v>
      </c>
      <c r="D17" s="127" t="s">
        <v>233</v>
      </c>
      <c r="E17" s="127" t="s">
        <v>267</v>
      </c>
      <c r="F17" s="127" t="s">
        <v>125</v>
      </c>
      <c r="G17" s="127" t="s">
        <v>119</v>
      </c>
      <c r="H17" s="128">
        <v>1</v>
      </c>
      <c r="I17" s="126" t="s">
        <v>225</v>
      </c>
      <c r="J17" s="126"/>
      <c r="K17" s="126"/>
      <c r="L17" s="126" t="s">
        <v>245</v>
      </c>
      <c r="M17" s="126" t="s">
        <v>198</v>
      </c>
      <c r="N17" s="128">
        <v>1</v>
      </c>
      <c r="O17" s="128"/>
      <c r="P17" s="128"/>
      <c r="Q17" s="128"/>
      <c r="R17" s="128"/>
      <c r="S17" s="153"/>
      <c r="T17" s="126"/>
      <c r="U17" s="126"/>
      <c r="V17" s="134" t="s">
        <v>288</v>
      </c>
    </row>
    <row r="18" spans="1:22" s="120" customFormat="1" ht="10.5" customHeight="1" x14ac:dyDescent="0.15">
      <c r="A18" s="126" t="s">
        <v>248</v>
      </c>
      <c r="B18" s="126" t="str">
        <f t="shared" si="1"/>
        <v>3710CV01</v>
      </c>
      <c r="C18" s="127" t="s">
        <v>269</v>
      </c>
      <c r="D18" s="127" t="s">
        <v>272</v>
      </c>
      <c r="E18" s="127" t="s">
        <v>260</v>
      </c>
      <c r="F18" s="127" t="s">
        <v>124</v>
      </c>
      <c r="G18" s="127" t="s">
        <v>119</v>
      </c>
      <c r="H18" s="128">
        <v>1</v>
      </c>
      <c r="I18" s="126" t="s">
        <v>293</v>
      </c>
      <c r="J18" s="126" t="s">
        <v>226</v>
      </c>
      <c r="K18" s="126" t="s">
        <v>246</v>
      </c>
      <c r="L18" s="126" t="s">
        <v>68</v>
      </c>
      <c r="M18" s="135" t="s">
        <v>289</v>
      </c>
      <c r="N18" s="128"/>
      <c r="O18" s="128">
        <v>1</v>
      </c>
      <c r="P18" s="128"/>
      <c r="Q18" s="128"/>
      <c r="R18" s="128"/>
      <c r="S18" s="153"/>
      <c r="T18" s="126"/>
      <c r="U18" s="126"/>
      <c r="V18" s="134"/>
    </row>
    <row r="19" spans="1:22" s="120" customFormat="1" ht="10.5" customHeight="1" x14ac:dyDescent="0.2">
      <c r="A19" s="126" t="s">
        <v>248</v>
      </c>
      <c r="B19" s="126" t="str">
        <f t="shared" ref="B19:B25" si="2">CONCATENATE(C19,D19,E19,F19,G19)</f>
        <v/>
      </c>
      <c r="C19" s="127"/>
      <c r="D19" s="127"/>
      <c r="E19" s="127"/>
      <c r="F19" s="127"/>
      <c r="G19" s="127"/>
      <c r="H19" s="128">
        <v>1</v>
      </c>
      <c r="I19" s="126" t="s">
        <v>293</v>
      </c>
      <c r="J19" s="126" t="s">
        <v>226</v>
      </c>
      <c r="K19" s="126" t="s">
        <v>117</v>
      </c>
      <c r="L19" s="126" t="s">
        <v>110</v>
      </c>
      <c r="M19" s="126" t="s">
        <v>251</v>
      </c>
      <c r="N19" s="128"/>
      <c r="O19" s="128"/>
      <c r="P19" s="128"/>
      <c r="Q19" s="128"/>
      <c r="R19" s="128"/>
      <c r="S19" s="153"/>
      <c r="T19" s="126"/>
      <c r="U19" s="126"/>
      <c r="V19" s="134"/>
    </row>
    <row r="20" spans="1:22" s="120" customFormat="1" ht="10.5" customHeight="1" x14ac:dyDescent="0.2">
      <c r="A20" s="126" t="s">
        <v>248</v>
      </c>
      <c r="B20" s="126" t="str">
        <f t="shared" si="2"/>
        <v>3710KM01</v>
      </c>
      <c r="C20" s="127" t="s">
        <v>269</v>
      </c>
      <c r="D20" s="127" t="s">
        <v>272</v>
      </c>
      <c r="E20" s="127" t="s">
        <v>260</v>
      </c>
      <c r="F20" s="127" t="s">
        <v>270</v>
      </c>
      <c r="G20" s="127" t="s">
        <v>119</v>
      </c>
      <c r="H20" s="128">
        <v>1</v>
      </c>
      <c r="I20" s="126" t="s">
        <v>293</v>
      </c>
      <c r="J20" s="126" t="s">
        <v>226</v>
      </c>
      <c r="K20" s="126"/>
      <c r="L20" s="126" t="s">
        <v>110</v>
      </c>
      <c r="M20" s="126" t="s">
        <v>243</v>
      </c>
      <c r="N20" s="128"/>
      <c r="O20" s="128"/>
      <c r="P20" s="128"/>
      <c r="Q20" s="128"/>
      <c r="R20" s="128">
        <v>10</v>
      </c>
      <c r="S20" s="153"/>
      <c r="T20" s="126"/>
      <c r="U20" s="126"/>
      <c r="V20" s="134"/>
    </row>
    <row r="21" spans="1:22" s="120" customFormat="1" ht="10.5" customHeight="1" x14ac:dyDescent="0.2">
      <c r="A21" s="126" t="s">
        <v>248</v>
      </c>
      <c r="B21" s="126" t="s">
        <v>281</v>
      </c>
      <c r="C21" s="127" t="s">
        <v>269</v>
      </c>
      <c r="D21" s="127" t="s">
        <v>272</v>
      </c>
      <c r="E21" s="127" t="s">
        <v>260</v>
      </c>
      <c r="F21" s="127" t="s">
        <v>270</v>
      </c>
      <c r="G21" s="127" t="s">
        <v>119</v>
      </c>
      <c r="H21" s="127"/>
      <c r="I21" s="126" t="s">
        <v>293</v>
      </c>
      <c r="J21" s="126" t="s">
        <v>226</v>
      </c>
      <c r="K21" s="126" t="s">
        <v>106</v>
      </c>
      <c r="L21" s="126" t="s">
        <v>110</v>
      </c>
      <c r="M21" s="126" t="s">
        <v>271</v>
      </c>
      <c r="N21" s="128"/>
      <c r="O21" s="128"/>
      <c r="P21" s="128"/>
      <c r="Q21" s="128"/>
      <c r="R21" s="128"/>
      <c r="S21" s="153"/>
      <c r="T21" s="126"/>
      <c r="U21" s="126"/>
      <c r="V21" s="134"/>
    </row>
    <row r="22" spans="1:22" s="120" customFormat="1" ht="10.5" customHeight="1" x14ac:dyDescent="0.2">
      <c r="A22" s="126" t="s">
        <v>248</v>
      </c>
      <c r="B22" s="126" t="str">
        <f t="shared" si="2"/>
        <v>3710KM01</v>
      </c>
      <c r="C22" s="127" t="s">
        <v>269</v>
      </c>
      <c r="D22" s="127" t="s">
        <v>272</v>
      </c>
      <c r="E22" s="127" t="s">
        <v>260</v>
      </c>
      <c r="F22" s="127" t="s">
        <v>270</v>
      </c>
      <c r="G22" s="127" t="s">
        <v>119</v>
      </c>
      <c r="H22" s="127"/>
      <c r="I22" s="126" t="s">
        <v>293</v>
      </c>
      <c r="J22" s="126" t="s">
        <v>226</v>
      </c>
      <c r="K22" s="126" t="s">
        <v>106</v>
      </c>
      <c r="L22" s="126" t="s">
        <v>110</v>
      </c>
      <c r="M22" s="126" t="s">
        <v>271</v>
      </c>
      <c r="N22" s="128"/>
      <c r="O22" s="128"/>
      <c r="P22" s="128"/>
      <c r="Q22" s="128"/>
      <c r="R22" s="128"/>
      <c r="S22" s="153"/>
      <c r="T22" s="126"/>
      <c r="U22" s="126"/>
      <c r="V22" s="134"/>
    </row>
    <row r="23" spans="1:22" s="120" customFormat="1" ht="10.5" customHeight="1" x14ac:dyDescent="0.2">
      <c r="A23" s="126" t="s">
        <v>248</v>
      </c>
      <c r="B23" s="126" t="str">
        <f t="shared" si="2"/>
        <v>3710TT01</v>
      </c>
      <c r="C23" s="127" t="s">
        <v>269</v>
      </c>
      <c r="D23" s="127" t="s">
        <v>272</v>
      </c>
      <c r="E23" s="127" t="s">
        <v>260</v>
      </c>
      <c r="F23" s="127" t="s">
        <v>125</v>
      </c>
      <c r="G23" s="127" t="s">
        <v>119</v>
      </c>
      <c r="H23" s="128">
        <v>1</v>
      </c>
      <c r="I23" s="126" t="s">
        <v>294</v>
      </c>
      <c r="J23" s="126" t="s">
        <v>252</v>
      </c>
      <c r="K23" s="126" t="s">
        <v>227</v>
      </c>
      <c r="L23" s="126" t="s">
        <v>106</v>
      </c>
      <c r="M23" s="126" t="s">
        <v>198</v>
      </c>
      <c r="N23" s="128">
        <v>1</v>
      </c>
      <c r="O23" s="128"/>
      <c r="P23" s="128"/>
      <c r="Q23" s="128"/>
      <c r="R23" s="128"/>
      <c r="S23" s="153"/>
      <c r="T23" s="126"/>
      <c r="U23" s="126"/>
      <c r="V23" s="134" t="s">
        <v>288</v>
      </c>
    </row>
    <row r="24" spans="1:22" s="120" customFormat="1" ht="10.5" customHeight="1" x14ac:dyDescent="0.2">
      <c r="A24" s="126" t="s">
        <v>248</v>
      </c>
      <c r="B24" s="126" t="str">
        <f t="shared" si="2"/>
        <v>3710PT01</v>
      </c>
      <c r="C24" s="127" t="s">
        <v>269</v>
      </c>
      <c r="D24" s="127" t="s">
        <v>272</v>
      </c>
      <c r="E24" s="127" t="s">
        <v>260</v>
      </c>
      <c r="F24" s="127" t="s">
        <v>129</v>
      </c>
      <c r="G24" s="127" t="s">
        <v>119</v>
      </c>
      <c r="H24" s="128">
        <v>1</v>
      </c>
      <c r="I24" s="126" t="s">
        <v>294</v>
      </c>
      <c r="J24" s="126" t="s">
        <v>252</v>
      </c>
      <c r="K24" s="126" t="s">
        <v>228</v>
      </c>
      <c r="L24" s="126" t="s">
        <v>244</v>
      </c>
      <c r="M24" s="126" t="s">
        <v>247</v>
      </c>
      <c r="N24" s="128">
        <v>1</v>
      </c>
      <c r="O24" s="128"/>
      <c r="P24" s="128"/>
      <c r="Q24" s="128"/>
      <c r="R24" s="128"/>
      <c r="S24" s="153"/>
      <c r="T24" s="126"/>
      <c r="U24" s="126"/>
      <c r="V24" s="134" t="s">
        <v>288</v>
      </c>
    </row>
    <row r="25" spans="1:22" s="120" customFormat="1" ht="10.5" customHeight="1" x14ac:dyDescent="0.15">
      <c r="A25" s="126" t="s">
        <v>248</v>
      </c>
      <c r="B25" s="126" t="str">
        <f t="shared" si="2"/>
        <v>3710CP01</v>
      </c>
      <c r="C25" s="127" t="s">
        <v>269</v>
      </c>
      <c r="D25" s="127" t="s">
        <v>272</v>
      </c>
      <c r="E25" s="127" t="s">
        <v>260</v>
      </c>
      <c r="F25" s="127" t="s">
        <v>126</v>
      </c>
      <c r="G25" s="127" t="s">
        <v>119</v>
      </c>
      <c r="H25" s="128">
        <v>4</v>
      </c>
      <c r="I25" s="126" t="s">
        <v>294</v>
      </c>
      <c r="J25" s="126" t="s">
        <v>252</v>
      </c>
      <c r="K25" s="126" t="s">
        <v>228</v>
      </c>
      <c r="L25" s="126" t="s">
        <v>108</v>
      </c>
      <c r="M25" s="135" t="s">
        <v>249</v>
      </c>
      <c r="N25" s="128"/>
      <c r="O25" s="128">
        <v>1</v>
      </c>
      <c r="P25" s="128">
        <v>1</v>
      </c>
      <c r="Q25" s="128">
        <v>1</v>
      </c>
      <c r="R25" s="128">
        <v>10</v>
      </c>
      <c r="S25" s="153"/>
      <c r="T25" s="158"/>
      <c r="U25" s="126"/>
      <c r="V25" s="134" t="s">
        <v>236</v>
      </c>
    </row>
    <row r="26" spans="1:22" s="120" customFormat="1" ht="10.5" customHeight="1" x14ac:dyDescent="0.15">
      <c r="A26" s="126" t="s">
        <v>248</v>
      </c>
      <c r="B26" s="126" t="str">
        <f t="shared" si="1"/>
        <v>3711DK01</v>
      </c>
      <c r="C26" s="127" t="s">
        <v>269</v>
      </c>
      <c r="D26" s="127" t="s">
        <v>272</v>
      </c>
      <c r="E26" s="127" t="s">
        <v>261</v>
      </c>
      <c r="F26" s="127" t="s">
        <v>284</v>
      </c>
      <c r="G26" s="127" t="s">
        <v>119</v>
      </c>
      <c r="H26" s="128">
        <v>2</v>
      </c>
      <c r="I26" s="126" t="s">
        <v>282</v>
      </c>
      <c r="J26" s="126" t="s">
        <v>252</v>
      </c>
      <c r="K26" s="126" t="s">
        <v>295</v>
      </c>
      <c r="L26" s="126" t="s">
        <v>282</v>
      </c>
      <c r="M26" s="135" t="s">
        <v>283</v>
      </c>
      <c r="N26" s="128"/>
      <c r="O26" s="128">
        <v>1</v>
      </c>
      <c r="P26" s="128">
        <v>1</v>
      </c>
      <c r="Q26" s="128"/>
      <c r="R26" s="128"/>
      <c r="S26" s="153"/>
      <c r="T26" s="158"/>
      <c r="U26" s="126"/>
      <c r="V26" s="134" t="s">
        <v>297</v>
      </c>
    </row>
    <row r="27" spans="1:22" s="120" customFormat="1" ht="10.5" customHeight="1" x14ac:dyDescent="0.2">
      <c r="A27" s="126" t="s">
        <v>248</v>
      </c>
      <c r="B27" s="126" t="str">
        <f t="shared" ref="B27:B28" si="3">CONCATENATE(C27,D27,E27,F27,G27)</f>
        <v>3711TT20</v>
      </c>
      <c r="C27" s="127" t="s">
        <v>269</v>
      </c>
      <c r="D27" s="127" t="s">
        <v>272</v>
      </c>
      <c r="E27" s="127" t="s">
        <v>261</v>
      </c>
      <c r="F27" s="127" t="s">
        <v>125</v>
      </c>
      <c r="G27" s="127" t="s">
        <v>153</v>
      </c>
      <c r="H27" s="128">
        <v>1</v>
      </c>
      <c r="I27" s="126" t="s">
        <v>282</v>
      </c>
      <c r="J27" s="126" t="s">
        <v>252</v>
      </c>
      <c r="K27" s="126" t="s">
        <v>291</v>
      </c>
      <c r="L27" s="126" t="s">
        <v>106</v>
      </c>
      <c r="M27" s="126" t="s">
        <v>198</v>
      </c>
      <c r="N27" s="128">
        <v>1</v>
      </c>
      <c r="O27" s="128"/>
      <c r="P27" s="128"/>
      <c r="Q27" s="128"/>
      <c r="R27" s="128"/>
      <c r="S27" s="153"/>
      <c r="T27" s="126"/>
      <c r="U27" s="126"/>
      <c r="V27" s="134" t="s">
        <v>288</v>
      </c>
    </row>
    <row r="28" spans="1:22" s="120" customFormat="1" ht="10.5" customHeight="1" x14ac:dyDescent="0.15">
      <c r="A28" s="126" t="s">
        <v>248</v>
      </c>
      <c r="B28" s="126" t="str">
        <f t="shared" si="3"/>
        <v>3712DK01</v>
      </c>
      <c r="C28" s="127" t="s">
        <v>269</v>
      </c>
      <c r="D28" s="127" t="s">
        <v>272</v>
      </c>
      <c r="E28" s="127" t="s">
        <v>267</v>
      </c>
      <c r="F28" s="127" t="s">
        <v>284</v>
      </c>
      <c r="G28" s="127" t="s">
        <v>119</v>
      </c>
      <c r="H28" s="128">
        <v>2</v>
      </c>
      <c r="I28" s="126" t="s">
        <v>285</v>
      </c>
      <c r="J28" s="126" t="s">
        <v>252</v>
      </c>
      <c r="K28" s="126" t="s">
        <v>296</v>
      </c>
      <c r="L28" s="126" t="s">
        <v>285</v>
      </c>
      <c r="M28" s="135" t="s">
        <v>283</v>
      </c>
      <c r="N28" s="128"/>
      <c r="O28" s="128">
        <v>1</v>
      </c>
      <c r="P28" s="128">
        <v>1</v>
      </c>
      <c r="Q28" s="128"/>
      <c r="R28" s="128"/>
      <c r="S28" s="153"/>
      <c r="T28" s="158"/>
      <c r="U28" s="126"/>
      <c r="V28" s="134" t="s">
        <v>297</v>
      </c>
    </row>
    <row r="29" spans="1:22" s="120" customFormat="1" ht="10.5" customHeight="1" x14ac:dyDescent="0.2">
      <c r="A29" s="126" t="s">
        <v>248</v>
      </c>
      <c r="B29" s="126" t="str">
        <f t="shared" ref="B29" si="4">CONCATENATE(C29,D29,E29,F29,G29)</f>
        <v>3712TT20</v>
      </c>
      <c r="C29" s="127" t="s">
        <v>269</v>
      </c>
      <c r="D29" s="127" t="s">
        <v>272</v>
      </c>
      <c r="E29" s="127" t="s">
        <v>267</v>
      </c>
      <c r="F29" s="127" t="s">
        <v>125</v>
      </c>
      <c r="G29" s="127" t="s">
        <v>153</v>
      </c>
      <c r="H29" s="128">
        <v>1</v>
      </c>
      <c r="I29" s="126" t="s">
        <v>285</v>
      </c>
      <c r="J29" s="126" t="s">
        <v>252</v>
      </c>
      <c r="K29" s="126" t="s">
        <v>292</v>
      </c>
      <c r="L29" s="126" t="s">
        <v>106</v>
      </c>
      <c r="M29" s="126" t="s">
        <v>198</v>
      </c>
      <c r="N29" s="128">
        <v>1</v>
      </c>
      <c r="O29" s="128"/>
      <c r="P29" s="128"/>
      <c r="Q29" s="128"/>
      <c r="R29" s="128"/>
      <c r="S29" s="153"/>
      <c r="T29" s="126"/>
      <c r="U29" s="126"/>
      <c r="V29" s="134" t="s">
        <v>288</v>
      </c>
    </row>
    <row r="30" spans="1:22" s="120" customFormat="1" ht="10.5" customHeight="1" x14ac:dyDescent="0.2">
      <c r="A30" s="126" t="s">
        <v>248</v>
      </c>
      <c r="B30" s="126" t="str">
        <f t="shared" si="1"/>
        <v>0002TT01</v>
      </c>
      <c r="C30" s="127" t="s">
        <v>260</v>
      </c>
      <c r="D30" s="127" t="s">
        <v>233</v>
      </c>
      <c r="E30" s="127" t="s">
        <v>267</v>
      </c>
      <c r="F30" s="127" t="s">
        <v>125</v>
      </c>
      <c r="G30" s="127" t="s">
        <v>119</v>
      </c>
      <c r="H30" s="128">
        <v>1</v>
      </c>
      <c r="I30" s="126" t="s">
        <v>225</v>
      </c>
      <c r="J30" s="126" t="s">
        <v>286</v>
      </c>
      <c r="K30" s="126" t="s">
        <v>246</v>
      </c>
      <c r="L30" s="126" t="s">
        <v>286</v>
      </c>
      <c r="M30" s="126" t="s">
        <v>287</v>
      </c>
      <c r="N30" s="128"/>
      <c r="O30" s="128"/>
      <c r="P30" s="128"/>
      <c r="Q30" s="128"/>
      <c r="R30" s="128">
        <v>5</v>
      </c>
      <c r="S30" s="153"/>
      <c r="T30" s="126"/>
      <c r="U30" s="126"/>
      <c r="V30" s="134"/>
    </row>
    <row r="31" spans="1:22" s="120" customFormat="1" ht="10.5" customHeight="1" x14ac:dyDescent="0.2">
      <c r="A31" s="126"/>
      <c r="B31" s="126"/>
      <c r="C31" s="127"/>
      <c r="D31" s="127"/>
      <c r="E31" s="127"/>
      <c r="F31" s="127"/>
      <c r="G31" s="127"/>
      <c r="H31" s="127"/>
      <c r="I31" s="126"/>
      <c r="J31" s="126"/>
      <c r="K31" s="126"/>
      <c r="L31" s="126"/>
      <c r="M31" s="126"/>
      <c r="N31" s="128"/>
      <c r="O31" s="128"/>
      <c r="P31" s="128"/>
      <c r="Q31" s="128"/>
      <c r="R31" s="128"/>
      <c r="S31" s="153"/>
      <c r="T31" s="126"/>
      <c r="U31" s="126"/>
      <c r="V31" s="134"/>
    </row>
    <row r="32" spans="1:22" s="120" customFormat="1" ht="10.5" customHeight="1" x14ac:dyDescent="0.2">
      <c r="A32" s="126"/>
      <c r="B32" s="126"/>
      <c r="C32" s="127"/>
      <c r="D32" s="127"/>
      <c r="E32" s="127"/>
      <c r="F32" s="127"/>
      <c r="G32" s="127"/>
      <c r="H32" s="127"/>
      <c r="I32" s="126"/>
      <c r="J32" s="126"/>
      <c r="K32" s="126"/>
      <c r="L32" s="126"/>
      <c r="M32" s="126"/>
      <c r="N32" s="128"/>
      <c r="O32" s="128"/>
      <c r="P32" s="128"/>
      <c r="Q32" s="128"/>
      <c r="R32" s="128"/>
      <c r="S32" s="153"/>
      <c r="T32" s="126"/>
      <c r="U32" s="126"/>
      <c r="V32" s="134"/>
    </row>
    <row r="33" spans="1:22" s="120" customFormat="1" ht="10.5" customHeight="1" x14ac:dyDescent="0.2">
      <c r="A33" s="126"/>
      <c r="B33" s="126"/>
      <c r="C33" s="127"/>
      <c r="D33" s="127"/>
      <c r="E33" s="127"/>
      <c r="F33" s="127"/>
      <c r="G33" s="127"/>
      <c r="H33" s="127"/>
      <c r="I33" s="126"/>
      <c r="J33" s="126"/>
      <c r="K33" s="126"/>
      <c r="L33" s="126"/>
      <c r="M33" s="126"/>
      <c r="N33" s="128"/>
      <c r="O33" s="128"/>
      <c r="P33" s="128"/>
      <c r="Q33" s="128"/>
      <c r="R33" s="128"/>
      <c r="S33" s="153"/>
      <c r="T33" s="158"/>
      <c r="U33" s="126"/>
      <c r="V33" s="134"/>
    </row>
    <row r="34" spans="1:22" s="120" customFormat="1" ht="10.5" customHeight="1" x14ac:dyDescent="0.2">
      <c r="A34" s="126"/>
      <c r="B34" s="126"/>
      <c r="C34" s="127"/>
      <c r="D34" s="127"/>
      <c r="E34" s="127"/>
      <c r="F34" s="127"/>
      <c r="G34" s="127"/>
      <c r="H34" s="127"/>
      <c r="I34" s="126"/>
      <c r="J34" s="126"/>
      <c r="K34" s="126"/>
      <c r="L34" s="126"/>
      <c r="M34" s="126"/>
      <c r="N34" s="128"/>
      <c r="O34" s="128"/>
      <c r="P34" s="128"/>
      <c r="Q34" s="128"/>
      <c r="R34" s="128"/>
      <c r="S34" s="153"/>
      <c r="T34" s="158"/>
      <c r="U34" s="126"/>
      <c r="V34" s="134"/>
    </row>
    <row r="35" spans="1:22" s="120" customFormat="1" ht="10.5" customHeight="1" x14ac:dyDescent="0.2">
      <c r="A35" s="126"/>
      <c r="B35" s="126"/>
      <c r="C35" s="127"/>
      <c r="D35" s="127"/>
      <c r="E35" s="127"/>
      <c r="F35" s="127"/>
      <c r="G35" s="127"/>
      <c r="H35" s="127"/>
      <c r="I35" s="126"/>
      <c r="J35" s="126"/>
      <c r="K35" s="126"/>
      <c r="L35" s="126"/>
      <c r="M35" s="126"/>
      <c r="N35" s="128"/>
      <c r="O35" s="128"/>
      <c r="P35" s="128"/>
      <c r="Q35" s="128"/>
      <c r="R35" s="128"/>
      <c r="S35" s="153"/>
      <c r="T35" s="126"/>
      <c r="U35" s="126"/>
      <c r="V35" s="134"/>
    </row>
    <row r="36" spans="1:22" s="120" customFormat="1" ht="10.5" customHeight="1" x14ac:dyDescent="0.15">
      <c r="A36" s="126"/>
      <c r="B36" s="126"/>
      <c r="C36" s="127"/>
      <c r="D36" s="127"/>
      <c r="E36" s="127"/>
      <c r="F36" s="127"/>
      <c r="G36" s="127"/>
      <c r="H36" s="127"/>
      <c r="I36" s="126"/>
      <c r="J36" s="126"/>
      <c r="K36" s="126"/>
      <c r="L36" s="126"/>
      <c r="M36" s="135"/>
      <c r="N36" s="128"/>
      <c r="O36" s="128"/>
      <c r="P36" s="128"/>
      <c r="Q36" s="128"/>
      <c r="R36" s="128"/>
      <c r="S36" s="153"/>
      <c r="T36" s="126"/>
      <c r="U36" s="126"/>
      <c r="V36" s="134"/>
    </row>
    <row r="37" spans="1:22" s="120" customFormat="1" ht="10.5" customHeight="1" x14ac:dyDescent="0.2">
      <c r="A37" s="126"/>
      <c r="B37" s="126"/>
      <c r="C37" s="127"/>
      <c r="D37" s="127"/>
      <c r="E37" s="127"/>
      <c r="F37" s="127"/>
      <c r="G37" s="127"/>
      <c r="H37" s="127"/>
      <c r="I37" s="126"/>
      <c r="J37" s="126"/>
      <c r="K37" s="126"/>
      <c r="L37" s="126"/>
      <c r="M37" s="126"/>
      <c r="N37" s="128"/>
      <c r="O37" s="128"/>
      <c r="P37" s="128"/>
      <c r="Q37" s="128"/>
      <c r="R37" s="128"/>
      <c r="S37" s="153"/>
      <c r="T37" s="126"/>
      <c r="U37" s="126"/>
      <c r="V37" s="134"/>
    </row>
    <row r="38" spans="1:22" s="120" customFormat="1" ht="10.5" customHeight="1" x14ac:dyDescent="0.2">
      <c r="A38" s="126"/>
      <c r="B38" s="126"/>
      <c r="C38" s="127"/>
      <c r="D38" s="127"/>
      <c r="E38" s="127"/>
      <c r="F38" s="127"/>
      <c r="G38" s="127"/>
      <c r="H38" s="127"/>
      <c r="I38" s="126"/>
      <c r="J38" s="126"/>
      <c r="K38" s="126"/>
      <c r="L38" s="126"/>
      <c r="M38" s="126"/>
      <c r="N38" s="128"/>
      <c r="O38" s="128"/>
      <c r="P38" s="128"/>
      <c r="Q38" s="128"/>
      <c r="R38" s="128"/>
      <c r="S38" s="153"/>
      <c r="T38" s="126"/>
      <c r="U38" s="126"/>
      <c r="V38" s="134"/>
    </row>
    <row r="39" spans="1:22" s="120" customFormat="1" ht="10.5" customHeight="1" x14ac:dyDescent="0.2">
      <c r="A39" s="126"/>
      <c r="B39" s="126"/>
      <c r="C39" s="127"/>
      <c r="D39" s="127"/>
      <c r="E39" s="127"/>
      <c r="F39" s="127"/>
      <c r="G39" s="127"/>
      <c r="H39" s="127"/>
      <c r="I39" s="126"/>
      <c r="J39" s="126"/>
      <c r="K39" s="126"/>
      <c r="L39" s="126"/>
      <c r="M39" s="126"/>
      <c r="N39" s="128"/>
      <c r="O39" s="128"/>
      <c r="P39" s="128"/>
      <c r="Q39" s="128"/>
      <c r="R39" s="128"/>
      <c r="S39" s="153"/>
      <c r="T39" s="126"/>
      <c r="U39" s="126"/>
      <c r="V39" s="134"/>
    </row>
    <row r="40" spans="1:22" s="120" customFormat="1" ht="10.5" customHeight="1" x14ac:dyDescent="0.2">
      <c r="A40" s="126"/>
      <c r="B40" s="126"/>
      <c r="C40" s="127"/>
      <c r="D40" s="127"/>
      <c r="E40" s="127"/>
      <c r="F40" s="127"/>
      <c r="G40" s="127"/>
      <c r="H40" s="127"/>
      <c r="I40" s="126"/>
      <c r="J40" s="126"/>
      <c r="K40" s="126"/>
      <c r="L40" s="126"/>
      <c r="M40" s="126"/>
      <c r="N40" s="128"/>
      <c r="O40" s="128"/>
      <c r="P40" s="128"/>
      <c r="Q40" s="128"/>
      <c r="R40" s="128"/>
      <c r="S40" s="153"/>
      <c r="T40" s="126"/>
      <c r="U40" s="126"/>
      <c r="V40" s="134"/>
    </row>
    <row r="41" spans="1:22" s="120" customFormat="1" ht="10.5" customHeight="1" x14ac:dyDescent="0.15">
      <c r="A41" s="126"/>
      <c r="B41" s="126"/>
      <c r="C41" s="127"/>
      <c r="D41" s="127"/>
      <c r="E41" s="127"/>
      <c r="F41" s="127"/>
      <c r="G41" s="127"/>
      <c r="H41" s="127"/>
      <c r="I41" s="126"/>
      <c r="J41" s="126"/>
      <c r="K41" s="126"/>
      <c r="L41" s="126"/>
      <c r="M41" s="135"/>
      <c r="N41" s="128"/>
      <c r="O41" s="128"/>
      <c r="P41" s="128"/>
      <c r="Q41" s="128"/>
      <c r="R41" s="128"/>
      <c r="S41" s="153"/>
      <c r="T41" s="126"/>
      <c r="U41" s="126"/>
      <c r="V41" s="134"/>
    </row>
    <row r="42" spans="1:22" s="120" customFormat="1" ht="10.5" customHeight="1" x14ac:dyDescent="0.2">
      <c r="A42" s="126"/>
      <c r="B42" s="126"/>
      <c r="C42" s="127"/>
      <c r="D42" s="127"/>
      <c r="E42" s="127"/>
      <c r="F42" s="127"/>
      <c r="G42" s="127"/>
      <c r="H42" s="127"/>
      <c r="I42" s="126"/>
      <c r="J42" s="126"/>
      <c r="K42" s="126"/>
      <c r="L42" s="126"/>
      <c r="M42" s="126"/>
      <c r="N42" s="128"/>
      <c r="O42" s="128"/>
      <c r="P42" s="128"/>
      <c r="Q42" s="128"/>
      <c r="R42" s="128"/>
      <c r="S42" s="153"/>
      <c r="T42" s="126"/>
      <c r="U42" s="126"/>
      <c r="V42" s="134"/>
    </row>
    <row r="43" spans="1:22" s="120" customFormat="1" ht="10.5" customHeight="1" x14ac:dyDescent="0.2">
      <c r="A43" s="126"/>
      <c r="B43" s="126"/>
      <c r="C43" s="127"/>
      <c r="D43" s="127"/>
      <c r="E43" s="127"/>
      <c r="F43" s="127"/>
      <c r="G43" s="127"/>
      <c r="H43" s="127"/>
      <c r="I43" s="126"/>
      <c r="J43" s="126"/>
      <c r="K43" s="126"/>
      <c r="L43" s="126"/>
      <c r="M43" s="126"/>
      <c r="N43" s="128"/>
      <c r="O43" s="128"/>
      <c r="P43" s="128"/>
      <c r="Q43" s="128"/>
      <c r="R43" s="128"/>
      <c r="S43" s="153"/>
      <c r="T43" s="126"/>
      <c r="U43" s="126"/>
      <c r="V43" s="134"/>
    </row>
    <row r="44" spans="1:22" s="120" customFormat="1" ht="10.5" customHeight="1" x14ac:dyDescent="0.2">
      <c r="A44" s="126"/>
      <c r="B44" s="126"/>
      <c r="C44" s="127"/>
      <c r="D44" s="127"/>
      <c r="E44" s="127"/>
      <c r="F44" s="127"/>
      <c r="G44" s="127"/>
      <c r="H44" s="127"/>
      <c r="I44" s="126"/>
      <c r="J44" s="126"/>
      <c r="K44" s="126"/>
      <c r="L44" s="126"/>
      <c r="M44" s="126"/>
      <c r="N44" s="128"/>
      <c r="O44" s="128"/>
      <c r="P44" s="128"/>
      <c r="Q44" s="128"/>
      <c r="R44" s="128"/>
      <c r="S44" s="153"/>
      <c r="T44" s="126"/>
      <c r="U44" s="126"/>
      <c r="V44" s="134"/>
    </row>
    <row r="45" spans="1:22" s="120" customFormat="1" ht="10.5" customHeight="1" x14ac:dyDescent="0.2">
      <c r="A45" s="126"/>
      <c r="B45" s="126"/>
      <c r="C45" s="127"/>
      <c r="D45" s="127"/>
      <c r="E45" s="127"/>
      <c r="F45" s="127"/>
      <c r="G45" s="127"/>
      <c r="H45" s="127"/>
      <c r="I45" s="126"/>
      <c r="J45" s="126"/>
      <c r="K45" s="126"/>
      <c r="L45" s="126"/>
      <c r="M45" s="126"/>
      <c r="N45" s="128"/>
      <c r="O45" s="128"/>
      <c r="P45" s="128"/>
      <c r="Q45" s="128"/>
      <c r="R45" s="128"/>
      <c r="S45" s="153"/>
      <c r="T45" s="126"/>
      <c r="U45" s="126"/>
      <c r="V45" s="134"/>
    </row>
    <row r="46" spans="1:22" s="120" customFormat="1" ht="10.5" customHeight="1" x14ac:dyDescent="0.2">
      <c r="A46" s="126"/>
      <c r="B46" s="126"/>
      <c r="C46" s="127"/>
      <c r="D46" s="127"/>
      <c r="E46" s="127"/>
      <c r="F46" s="127"/>
      <c r="G46" s="127"/>
      <c r="H46" s="127"/>
      <c r="I46" s="126"/>
      <c r="J46" s="126"/>
      <c r="K46" s="126"/>
      <c r="L46" s="126"/>
      <c r="M46" s="126"/>
      <c r="N46" s="128"/>
      <c r="O46" s="128"/>
      <c r="P46" s="128"/>
      <c r="Q46" s="128"/>
      <c r="R46" s="128"/>
      <c r="S46" s="153"/>
      <c r="T46" s="126"/>
      <c r="U46" s="126"/>
      <c r="V46" s="134"/>
    </row>
    <row r="47" spans="1:22" s="120" customFormat="1" ht="10.5" customHeight="1" x14ac:dyDescent="0.2">
      <c r="A47" s="126"/>
      <c r="B47" s="126"/>
      <c r="C47" s="127"/>
      <c r="D47" s="127"/>
      <c r="E47" s="127"/>
      <c r="F47" s="127"/>
      <c r="G47" s="127"/>
      <c r="H47" s="127"/>
      <c r="I47" s="126"/>
      <c r="J47" s="126"/>
      <c r="K47" s="126"/>
      <c r="L47" s="126"/>
      <c r="M47" s="126"/>
      <c r="N47" s="128"/>
      <c r="O47" s="128"/>
      <c r="P47" s="128"/>
      <c r="Q47" s="128"/>
      <c r="R47" s="128"/>
      <c r="S47" s="153"/>
      <c r="T47" s="126"/>
      <c r="U47" s="126"/>
      <c r="V47" s="134"/>
    </row>
    <row r="48" spans="1:22" s="120" customFormat="1" ht="10.5" customHeight="1" x14ac:dyDescent="0.2">
      <c r="A48" s="126"/>
      <c r="B48" s="126"/>
      <c r="C48" s="127"/>
      <c r="D48" s="127"/>
      <c r="E48" s="127"/>
      <c r="F48" s="127"/>
      <c r="G48" s="127"/>
      <c r="H48" s="127"/>
      <c r="I48" s="126"/>
      <c r="J48" s="126"/>
      <c r="K48" s="126"/>
      <c r="L48" s="126"/>
      <c r="M48" s="126"/>
      <c r="N48" s="128"/>
      <c r="O48" s="128"/>
      <c r="P48" s="128"/>
      <c r="Q48" s="128"/>
      <c r="R48" s="128"/>
      <c r="S48" s="153"/>
      <c r="T48" s="126"/>
      <c r="U48" s="126"/>
      <c r="V48" s="134"/>
    </row>
    <row r="49" spans="1:22" s="120" customFormat="1" ht="10.5" customHeight="1" x14ac:dyDescent="0.2">
      <c r="A49" s="126"/>
      <c r="B49" s="126"/>
      <c r="C49" s="127"/>
      <c r="D49" s="127"/>
      <c r="E49" s="127"/>
      <c r="F49" s="127"/>
      <c r="G49" s="127"/>
      <c r="H49" s="127"/>
      <c r="I49" s="126"/>
      <c r="J49" s="126"/>
      <c r="K49" s="126"/>
      <c r="L49" s="126"/>
      <c r="M49" s="126"/>
      <c r="N49" s="128"/>
      <c r="O49" s="128"/>
      <c r="P49" s="128"/>
      <c r="Q49" s="128"/>
      <c r="R49" s="128"/>
      <c r="S49" s="153"/>
      <c r="T49" s="126"/>
      <c r="U49" s="126"/>
      <c r="V49" s="134"/>
    </row>
    <row r="50" spans="1:22" s="120" customFormat="1" ht="10.5" customHeight="1" x14ac:dyDescent="0.2">
      <c r="A50" s="126"/>
      <c r="B50" s="126"/>
      <c r="C50" s="127"/>
      <c r="D50" s="127"/>
      <c r="E50" s="127"/>
      <c r="F50" s="127"/>
      <c r="G50" s="127"/>
      <c r="H50" s="127"/>
      <c r="I50" s="126"/>
      <c r="J50" s="126"/>
      <c r="K50" s="126"/>
      <c r="L50" s="126"/>
      <c r="M50" s="126"/>
      <c r="N50" s="128"/>
      <c r="O50" s="128"/>
      <c r="P50" s="128"/>
      <c r="Q50" s="128"/>
      <c r="R50" s="128"/>
      <c r="S50" s="153"/>
      <c r="T50" s="126"/>
      <c r="U50" s="126"/>
      <c r="V50" s="134"/>
    </row>
    <row r="51" spans="1:22" s="120" customFormat="1" ht="10.5" customHeight="1" x14ac:dyDescent="0.15">
      <c r="A51" s="126"/>
      <c r="B51" s="126"/>
      <c r="C51" s="127"/>
      <c r="D51" s="127"/>
      <c r="E51" s="127"/>
      <c r="F51" s="127"/>
      <c r="G51" s="127"/>
      <c r="H51" s="127"/>
      <c r="I51" s="126"/>
      <c r="J51" s="126"/>
      <c r="K51" s="126"/>
      <c r="L51" s="126"/>
      <c r="M51" s="135"/>
      <c r="N51" s="128"/>
      <c r="O51" s="128"/>
      <c r="P51" s="128"/>
      <c r="Q51" s="128"/>
      <c r="R51" s="128"/>
      <c r="S51" s="153"/>
      <c r="T51" s="158"/>
      <c r="U51" s="126"/>
      <c r="V51" s="134"/>
    </row>
    <row r="52" spans="1:22" s="120" customFormat="1" ht="10.5" customHeight="1" x14ac:dyDescent="0.15">
      <c r="A52" s="126"/>
      <c r="B52" s="126"/>
      <c r="C52" s="127"/>
      <c r="D52" s="127"/>
      <c r="E52" s="127"/>
      <c r="F52" s="127"/>
      <c r="G52" s="127"/>
      <c r="H52" s="127"/>
      <c r="I52" s="126"/>
      <c r="J52" s="126"/>
      <c r="K52" s="126"/>
      <c r="L52" s="126"/>
      <c r="M52" s="135"/>
      <c r="N52" s="128"/>
      <c r="O52" s="128"/>
      <c r="P52" s="128"/>
      <c r="Q52" s="128"/>
      <c r="R52" s="128"/>
      <c r="S52" s="153"/>
      <c r="T52" s="158"/>
      <c r="U52" s="126"/>
      <c r="V52" s="134"/>
    </row>
    <row r="53" spans="1:22" s="120" customFormat="1" ht="10.5" customHeight="1" x14ac:dyDescent="0.15">
      <c r="A53" s="126"/>
      <c r="B53" s="126"/>
      <c r="C53" s="127"/>
      <c r="D53" s="127"/>
      <c r="E53" s="127"/>
      <c r="F53" s="127"/>
      <c r="G53" s="127"/>
      <c r="H53" s="127"/>
      <c r="I53" s="126"/>
      <c r="J53" s="126"/>
      <c r="K53" s="126"/>
      <c r="L53" s="126"/>
      <c r="M53" s="135"/>
      <c r="N53" s="128"/>
      <c r="O53" s="128"/>
      <c r="P53" s="128"/>
      <c r="Q53" s="128"/>
      <c r="R53" s="128"/>
      <c r="S53" s="153"/>
      <c r="T53" s="158"/>
      <c r="U53" s="126"/>
      <c r="V53" s="134"/>
    </row>
    <row r="54" spans="1:22" s="120" customFormat="1" ht="10.5" customHeight="1" x14ac:dyDescent="0.2">
      <c r="A54" s="126"/>
      <c r="B54" s="126"/>
      <c r="C54" s="127"/>
      <c r="D54" s="127"/>
      <c r="E54" s="127"/>
      <c r="F54" s="127"/>
      <c r="G54" s="127"/>
      <c r="H54" s="127"/>
      <c r="I54" s="126"/>
      <c r="J54" s="126"/>
      <c r="K54" s="126"/>
      <c r="L54" s="126"/>
      <c r="M54" s="126"/>
      <c r="N54" s="128"/>
      <c r="O54" s="128"/>
      <c r="P54" s="128"/>
      <c r="Q54" s="128"/>
      <c r="R54" s="128"/>
      <c r="S54" s="153"/>
      <c r="T54" s="126"/>
      <c r="U54" s="126"/>
      <c r="V54" s="134"/>
    </row>
    <row r="55" spans="1:22" s="120" customFormat="1" ht="10.5" customHeight="1" x14ac:dyDescent="0.2">
      <c r="A55" s="126"/>
      <c r="B55" s="126"/>
      <c r="C55" s="127"/>
      <c r="D55" s="127"/>
      <c r="E55" s="127"/>
      <c r="F55" s="127"/>
      <c r="G55" s="127"/>
      <c r="H55" s="127"/>
      <c r="I55" s="126"/>
      <c r="J55" s="126"/>
      <c r="K55" s="126"/>
      <c r="L55" s="126"/>
      <c r="M55" s="126"/>
      <c r="N55" s="128"/>
      <c r="O55" s="128"/>
      <c r="P55" s="128"/>
      <c r="Q55" s="128"/>
      <c r="R55" s="128"/>
      <c r="S55" s="153"/>
      <c r="T55" s="126"/>
      <c r="U55" s="126"/>
      <c r="V55" s="134"/>
    </row>
    <row r="56" spans="1:22" s="120" customFormat="1" ht="10.5" customHeight="1" x14ac:dyDescent="0.2">
      <c r="A56" s="126"/>
      <c r="B56" s="126"/>
      <c r="C56" s="127"/>
      <c r="D56" s="127"/>
      <c r="E56" s="127"/>
      <c r="F56" s="127"/>
      <c r="G56" s="127"/>
      <c r="H56" s="127"/>
      <c r="I56" s="126"/>
      <c r="J56" s="126"/>
      <c r="K56" s="126"/>
      <c r="L56" s="126"/>
      <c r="M56" s="126"/>
      <c r="N56" s="128"/>
      <c r="O56" s="128"/>
      <c r="P56" s="128"/>
      <c r="Q56" s="128"/>
      <c r="R56" s="128"/>
      <c r="S56" s="153"/>
      <c r="T56" s="126"/>
      <c r="U56" s="126"/>
      <c r="V56" s="134"/>
    </row>
    <row r="57" spans="1:22" s="120" customFormat="1" ht="10.5" customHeight="1" x14ac:dyDescent="0.2">
      <c r="A57" s="126"/>
      <c r="B57" s="126"/>
      <c r="C57" s="127"/>
      <c r="D57" s="127"/>
      <c r="E57" s="127"/>
      <c r="F57" s="127"/>
      <c r="G57" s="127"/>
      <c r="H57" s="127"/>
      <c r="I57" s="126"/>
      <c r="J57" s="126"/>
      <c r="K57" s="126"/>
      <c r="L57" s="126"/>
      <c r="M57" s="126"/>
      <c r="N57" s="128"/>
      <c r="O57" s="128"/>
      <c r="P57" s="128"/>
      <c r="Q57" s="128"/>
      <c r="R57" s="128"/>
      <c r="S57" s="153"/>
      <c r="T57" s="126"/>
      <c r="U57" s="126"/>
      <c r="V57" s="134"/>
    </row>
    <row r="58" spans="1:22" s="120" customFormat="1" ht="10.5" customHeight="1" x14ac:dyDescent="0.2">
      <c r="A58" s="126"/>
      <c r="B58" s="126"/>
      <c r="C58" s="127"/>
      <c r="D58" s="127"/>
      <c r="E58" s="127"/>
      <c r="F58" s="127"/>
      <c r="G58" s="127"/>
      <c r="H58" s="127"/>
      <c r="I58" s="126"/>
      <c r="J58" s="126"/>
      <c r="K58" s="126"/>
      <c r="L58" s="126"/>
      <c r="M58" s="126"/>
      <c r="N58" s="128"/>
      <c r="O58" s="128"/>
      <c r="P58" s="128"/>
      <c r="Q58" s="128"/>
      <c r="R58" s="128"/>
      <c r="S58" s="153"/>
      <c r="T58" s="126"/>
      <c r="U58" s="126"/>
      <c r="V58" s="134"/>
    </row>
    <row r="59" spans="1:22" s="120" customFormat="1" ht="10.5" customHeight="1" x14ac:dyDescent="0.15">
      <c r="A59" s="126"/>
      <c r="B59" s="126"/>
      <c r="C59" s="127"/>
      <c r="D59" s="127"/>
      <c r="E59" s="127"/>
      <c r="F59" s="127"/>
      <c r="G59" s="127"/>
      <c r="H59" s="127"/>
      <c r="I59" s="126"/>
      <c r="J59" s="126"/>
      <c r="K59" s="126"/>
      <c r="L59" s="126"/>
      <c r="M59" s="135"/>
      <c r="N59" s="128"/>
      <c r="O59" s="128"/>
      <c r="P59" s="128"/>
      <c r="Q59" s="128"/>
      <c r="R59" s="128"/>
      <c r="S59" s="153"/>
      <c r="T59" s="164"/>
      <c r="U59" s="126"/>
      <c r="V59" s="134"/>
    </row>
    <row r="60" spans="1:22" s="120" customFormat="1" ht="10.5" customHeight="1" x14ac:dyDescent="0.2">
      <c r="A60" s="126"/>
      <c r="B60" s="126"/>
      <c r="C60" s="127"/>
      <c r="D60" s="127"/>
      <c r="E60" s="127"/>
      <c r="F60" s="127"/>
      <c r="G60" s="127"/>
      <c r="H60" s="127"/>
      <c r="I60" s="126"/>
      <c r="J60" s="126"/>
      <c r="K60" s="126"/>
      <c r="L60" s="126"/>
      <c r="M60" s="126"/>
      <c r="N60" s="128"/>
      <c r="O60" s="128"/>
      <c r="P60" s="128"/>
      <c r="Q60" s="128"/>
      <c r="R60" s="128"/>
      <c r="S60" s="153"/>
      <c r="T60" s="126"/>
      <c r="U60" s="126"/>
      <c r="V60" s="134"/>
    </row>
    <row r="61" spans="1:22" s="120" customFormat="1" ht="10.5" customHeight="1" x14ac:dyDescent="0.2">
      <c r="A61" s="126"/>
      <c r="B61" s="126"/>
      <c r="C61" s="127"/>
      <c r="D61" s="127"/>
      <c r="E61" s="127"/>
      <c r="F61" s="127"/>
      <c r="G61" s="127"/>
      <c r="H61" s="127"/>
      <c r="I61" s="126"/>
      <c r="J61" s="126"/>
      <c r="K61" s="126"/>
      <c r="L61" s="126"/>
      <c r="M61" s="126"/>
      <c r="N61" s="128"/>
      <c r="O61" s="128"/>
      <c r="P61" s="128"/>
      <c r="Q61" s="128"/>
      <c r="R61" s="128"/>
      <c r="S61" s="153"/>
      <c r="T61" s="126"/>
      <c r="U61" s="126"/>
      <c r="V61" s="134"/>
    </row>
    <row r="62" spans="1:22" s="120" customFormat="1" ht="9.75" customHeight="1" x14ac:dyDescent="0.2">
      <c r="A62" s="126"/>
      <c r="B62" s="126"/>
      <c r="C62" s="127"/>
      <c r="D62" s="127"/>
      <c r="E62" s="127"/>
      <c r="F62" s="127"/>
      <c r="G62" s="127"/>
      <c r="H62" s="127"/>
      <c r="I62" s="126"/>
      <c r="J62" s="126"/>
      <c r="K62" s="126"/>
      <c r="L62" s="126"/>
      <c r="M62" s="126"/>
      <c r="N62" s="128"/>
      <c r="O62" s="128"/>
      <c r="P62" s="128"/>
      <c r="Q62" s="128"/>
      <c r="R62" s="128"/>
      <c r="S62" s="153"/>
      <c r="T62" s="126"/>
      <c r="U62" s="126"/>
      <c r="V62" s="134"/>
    </row>
  </sheetData>
  <autoFilter ref="A5:V62" xr:uid="{6CF1B1C6-B604-4246-96D3-C15B66852AE7}"/>
  <sortState xmlns:xlrd2="http://schemas.microsoft.com/office/spreadsheetml/2017/richdata2" ref="A6:XBM425">
    <sortCondition ref="A6:A425"/>
  </sortState>
  <dataConsolidate/>
  <phoneticPr fontId="0" type="noConversion"/>
  <printOptions horizontalCentered="1" gridLines="1"/>
  <pageMargins left="0.19685039370078741" right="0.19685039370078741" top="0.39370078740157483" bottom="0.39370078740157483" header="0.19685039370078741" footer="0"/>
  <pageSetup paperSize="8" scale="76" fitToHeight="0" orientation="landscape"/>
  <headerFooter alignWithMargins="0">
    <oddHeader>&amp;R&amp;D</oddHeader>
    <oddFooter>&amp;LENGIE&amp;RPagina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14">
    <pageSetUpPr fitToPage="1"/>
  </sheetPr>
  <dimension ref="A1:GL104"/>
  <sheetViews>
    <sheetView workbookViewId="0"/>
  </sheetViews>
  <sheetFormatPr defaultColWidth="15.85546875" defaultRowHeight="12.75" outlineLevelCol="1" x14ac:dyDescent="0.2"/>
  <cols>
    <col min="1" max="1" width="14.42578125" style="1" bestFit="1" customWidth="1"/>
    <col min="2" max="2" width="14.7109375" style="4" bestFit="1" customWidth="1"/>
    <col min="3" max="3" width="4.85546875" style="67" bestFit="1" customWidth="1"/>
    <col min="4" max="4" width="7.5703125" style="67" bestFit="1" customWidth="1"/>
    <col min="5" max="5" width="10.85546875" style="28" bestFit="1" customWidth="1"/>
    <col min="6" max="6" width="10.42578125" style="28" bestFit="1" customWidth="1"/>
    <col min="7" max="7" width="7.7109375" style="28" bestFit="1" customWidth="1"/>
    <col min="8" max="8" width="10.42578125" style="28" bestFit="1" customWidth="1"/>
    <col min="9" max="9" width="6.5703125" style="73" bestFit="1" customWidth="1"/>
    <col min="10" max="10" width="5.42578125" style="74" bestFit="1" customWidth="1"/>
    <col min="11" max="11" width="21.140625" style="4" bestFit="1" customWidth="1"/>
    <col min="12" max="12" width="14.85546875" style="4" bestFit="1" customWidth="1"/>
    <col min="13" max="13" width="37.7109375" style="47" bestFit="1" customWidth="1"/>
    <col min="14" max="14" width="14.85546875" style="2" bestFit="1" customWidth="1"/>
    <col min="15" max="15" width="14.140625" style="2" bestFit="1" customWidth="1"/>
    <col min="16" max="16" width="15.140625" style="28" bestFit="1" customWidth="1"/>
    <col min="17" max="17" width="12.28515625" style="4" bestFit="1" customWidth="1"/>
    <col min="18" max="18" width="25.42578125" style="4" bestFit="1" customWidth="1"/>
    <col min="19" max="19" width="9.85546875" style="4" bestFit="1" customWidth="1"/>
    <col min="20" max="20" width="14.7109375" style="50" bestFit="1" customWidth="1"/>
    <col min="21" max="21" width="10.140625" style="50" hidden="1" customWidth="1"/>
    <col min="22" max="23" width="15.140625" style="2" bestFit="1" customWidth="1"/>
    <col min="24" max="24" width="15.42578125" style="3" bestFit="1" customWidth="1" outlineLevel="1"/>
    <col min="25" max="25" width="17" style="2" bestFit="1" customWidth="1" outlineLevel="1"/>
    <col min="26" max="26" width="14.7109375" style="2" bestFit="1" customWidth="1" outlineLevel="1"/>
    <col min="27" max="28" width="17" style="2" bestFit="1" customWidth="1" outlineLevel="1"/>
    <col min="29" max="30" width="15.85546875" style="2" bestFit="1" customWidth="1" outlineLevel="1"/>
    <col min="31" max="31" width="21.85546875" style="2" bestFit="1" customWidth="1" outlineLevel="1"/>
    <col min="32" max="33" width="14.85546875" style="2" bestFit="1" customWidth="1" outlineLevel="1"/>
    <col min="34" max="34" width="21.5703125" style="2" bestFit="1" customWidth="1" outlineLevel="1"/>
    <col min="35" max="35" width="15.140625" style="2" bestFit="1" customWidth="1" outlineLevel="1"/>
    <col min="36" max="36" width="3.5703125" style="2" hidden="1" customWidth="1"/>
    <col min="37" max="37" width="19.7109375" style="2" bestFit="1" customWidth="1" outlineLevel="1"/>
    <col min="38" max="38" width="17.28515625" style="2" bestFit="1" customWidth="1" outlineLevel="1"/>
    <col min="39" max="39" width="3.5703125" style="2" hidden="1" customWidth="1"/>
    <col min="40" max="41" width="15.42578125" style="2" bestFit="1" customWidth="1" outlineLevel="1"/>
    <col min="42" max="43" width="14" style="2" bestFit="1" customWidth="1" outlineLevel="1"/>
    <col min="44" max="44" width="15.5703125" style="2" bestFit="1" customWidth="1" outlineLevel="1"/>
    <col min="45" max="45" width="15.42578125" style="2" bestFit="1" customWidth="1" outlineLevel="1"/>
    <col min="46" max="46" width="16.5703125" style="2" bestFit="1" customWidth="1" outlineLevel="1"/>
    <col min="47" max="47" width="10.5703125" style="2" bestFit="1" customWidth="1" outlineLevel="1"/>
    <col min="48" max="48" width="9.7109375" style="2" bestFit="1" customWidth="1" outlineLevel="1"/>
    <col min="49" max="49" width="17" style="2" bestFit="1" customWidth="1" outlineLevel="1"/>
    <col min="50" max="50" width="19.85546875" style="2" bestFit="1" customWidth="1" outlineLevel="1"/>
    <col min="51" max="51" width="16.28515625" style="2" bestFit="1" customWidth="1" outlineLevel="1"/>
    <col min="52" max="52" width="14.85546875" style="3" bestFit="1" customWidth="1" outlineLevel="1"/>
    <col min="53" max="53" width="12.7109375" style="3" bestFit="1" customWidth="1" outlineLevel="1"/>
    <col min="54" max="54" width="17" style="3" bestFit="1" customWidth="1" outlineLevel="1"/>
    <col min="55" max="55" width="14.85546875" style="2" bestFit="1" customWidth="1" outlineLevel="1"/>
    <col min="56" max="59" width="15.5703125" style="2" bestFit="1" customWidth="1" outlineLevel="1"/>
    <col min="60" max="60" width="10" style="2" hidden="1" customWidth="1"/>
    <col min="61" max="63" width="16.28515625" style="2" bestFit="1" customWidth="1" outlineLevel="1"/>
    <col min="64" max="64" width="16.85546875" style="2" bestFit="1" customWidth="1" outlineLevel="1"/>
    <col min="65" max="65" width="10" style="2" hidden="1" customWidth="1"/>
    <col min="66" max="66" width="18" style="2" bestFit="1" customWidth="1"/>
    <col min="67" max="67" width="16.5703125" style="2" bestFit="1" customWidth="1" outlineLevel="1"/>
    <col min="68" max="68" width="16.85546875" style="2" bestFit="1" customWidth="1" outlineLevel="1"/>
    <col min="69" max="69" width="14.85546875" style="2" bestFit="1" customWidth="1" outlineLevel="1"/>
    <col min="70" max="74" width="16.85546875" style="2" bestFit="1" customWidth="1" outlineLevel="1"/>
    <col min="75" max="75" width="4.85546875" style="77" bestFit="1" customWidth="1" collapsed="1"/>
    <col min="76" max="76" width="5.42578125" style="77" bestFit="1" customWidth="1"/>
    <col min="77" max="77" width="4.85546875" style="77" bestFit="1" customWidth="1"/>
    <col min="78" max="78" width="5.42578125" style="77" bestFit="1" customWidth="1"/>
    <col min="79" max="79" width="4" style="77" bestFit="1" customWidth="1"/>
    <col min="80" max="80" width="20.140625" style="1" bestFit="1" customWidth="1"/>
    <col min="81" max="81" width="89.7109375" style="63" bestFit="1" customWidth="1"/>
    <col min="82" max="185" width="15.85546875" style="1" customWidth="1"/>
    <col min="186" max="187" width="15.85546875" style="4" customWidth="1"/>
    <col min="188" max="191" width="24.5703125" style="4" bestFit="1" customWidth="1"/>
    <col min="192" max="16384" width="15.85546875" style="4"/>
  </cols>
  <sheetData>
    <row r="1" spans="1:194" s="5" customFormat="1" x14ac:dyDescent="0.2">
      <c r="A1" s="18" t="s">
        <v>97</v>
      </c>
      <c r="B1" s="5" t="s">
        <v>147</v>
      </c>
      <c r="C1" s="64"/>
      <c r="D1" s="64"/>
      <c r="I1" s="64"/>
      <c r="J1" s="68"/>
      <c r="K1" s="5" t="s">
        <v>133</v>
      </c>
      <c r="L1" s="19"/>
      <c r="M1" s="43"/>
      <c r="N1" s="51" t="e">
        <f>SUM(#REF!)</f>
        <v>#REF!</v>
      </c>
      <c r="O1" s="20"/>
      <c r="P1" s="27"/>
      <c r="Q1" s="175" t="s">
        <v>89</v>
      </c>
      <c r="R1" s="177"/>
      <c r="S1" s="38"/>
      <c r="T1" s="48"/>
      <c r="U1" s="48"/>
      <c r="V1" s="39" t="s">
        <v>99</v>
      </c>
      <c r="W1" s="22"/>
      <c r="X1" s="35" t="s">
        <v>34</v>
      </c>
      <c r="Y1" s="39"/>
      <c r="Z1" s="22"/>
      <c r="AA1" s="171" t="s">
        <v>63</v>
      </c>
      <c r="AB1" s="172"/>
      <c r="AC1" s="172"/>
      <c r="AD1" s="39"/>
      <c r="AE1" s="39"/>
      <c r="AF1" s="39"/>
      <c r="AG1" s="39"/>
      <c r="AH1" s="39"/>
      <c r="AI1" s="22"/>
      <c r="AJ1" s="40"/>
      <c r="AK1" s="23" t="s">
        <v>67</v>
      </c>
      <c r="AL1" s="41"/>
      <c r="AM1" s="40"/>
      <c r="AN1" s="173" t="s">
        <v>68</v>
      </c>
      <c r="AO1" s="174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26"/>
      <c r="BA1" s="26"/>
      <c r="BB1" s="26"/>
      <c r="BC1" s="17" t="s">
        <v>0</v>
      </c>
      <c r="BD1" s="17"/>
      <c r="BE1" s="17"/>
      <c r="BF1" s="17"/>
      <c r="BG1" s="41"/>
      <c r="BH1" s="40"/>
      <c r="BI1" s="11" t="s">
        <v>53</v>
      </c>
      <c r="BJ1" s="23" t="s">
        <v>41</v>
      </c>
      <c r="BK1" s="17"/>
      <c r="BL1" s="41"/>
      <c r="BM1" s="40"/>
      <c r="BN1" s="23" t="s">
        <v>64</v>
      </c>
      <c r="BO1" s="16"/>
      <c r="BP1" s="17"/>
      <c r="BQ1" s="17"/>
      <c r="BR1" s="17"/>
      <c r="BS1" s="17"/>
      <c r="BT1" s="17"/>
      <c r="BU1" s="17"/>
      <c r="BV1" s="41"/>
      <c r="BW1" s="165" t="s">
        <v>166</v>
      </c>
      <c r="BX1" s="166"/>
      <c r="BY1" s="166"/>
      <c r="BZ1" s="166"/>
      <c r="CA1" s="167"/>
      <c r="CB1" s="10" t="s">
        <v>65</v>
      </c>
      <c r="CC1" s="61"/>
      <c r="GD1" s="18"/>
      <c r="GE1" s="18"/>
      <c r="GF1" s="18"/>
      <c r="GG1" s="18"/>
      <c r="GH1" s="18"/>
      <c r="GI1" s="18"/>
      <c r="GJ1" s="18"/>
      <c r="GK1" s="18"/>
      <c r="GL1" s="18"/>
    </row>
    <row r="2" spans="1:194" s="6" customFormat="1" x14ac:dyDescent="0.2">
      <c r="A2" s="5" t="s">
        <v>96</v>
      </c>
      <c r="B2" s="168">
        <v>5470477</v>
      </c>
      <c r="C2" s="168"/>
      <c r="D2" s="168"/>
      <c r="E2" s="168"/>
      <c r="F2" s="168"/>
      <c r="G2" s="168"/>
      <c r="H2" s="168"/>
      <c r="I2" s="168"/>
      <c r="J2" s="69"/>
      <c r="K2" s="12"/>
      <c r="L2" s="12"/>
      <c r="M2" s="44"/>
      <c r="N2" s="7"/>
      <c r="O2" s="2"/>
      <c r="P2" s="28"/>
      <c r="Q2" s="12"/>
      <c r="R2" s="12"/>
      <c r="S2" s="12"/>
      <c r="T2" s="49"/>
      <c r="U2" s="49"/>
      <c r="V2" s="7"/>
      <c r="W2" s="7"/>
      <c r="X2" s="3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13"/>
      <c r="AZ2" s="13"/>
      <c r="BA2" s="13"/>
      <c r="BB2" s="13"/>
      <c r="BC2" s="7"/>
      <c r="BD2" s="13"/>
      <c r="BE2" s="7"/>
      <c r="BF2" s="7"/>
      <c r="BG2" s="13"/>
      <c r="BH2" s="7"/>
      <c r="BI2" s="13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5"/>
      <c r="BX2" s="75"/>
      <c r="BY2" s="75"/>
      <c r="BZ2" s="75"/>
      <c r="CA2" s="75"/>
      <c r="CC2" s="60"/>
      <c r="GD2" s="12"/>
      <c r="GE2" s="12"/>
      <c r="GF2" s="12"/>
      <c r="GG2" s="12"/>
      <c r="GH2" s="12"/>
      <c r="GI2" s="12"/>
      <c r="GJ2" s="12"/>
      <c r="GK2" s="12"/>
      <c r="GL2" s="12"/>
    </row>
    <row r="3" spans="1:194" s="6" customFormat="1" x14ac:dyDescent="0.2">
      <c r="A3" s="5" t="s">
        <v>95</v>
      </c>
      <c r="B3" s="169">
        <f ca="1">TODAY()</f>
        <v>46160</v>
      </c>
      <c r="C3" s="169"/>
      <c r="D3" s="169"/>
      <c r="E3" s="169"/>
      <c r="F3" s="169"/>
      <c r="G3" s="169"/>
      <c r="H3" s="169"/>
      <c r="I3" s="170"/>
      <c r="J3" s="70"/>
      <c r="K3" s="175" t="s">
        <v>88</v>
      </c>
      <c r="L3" s="176"/>
      <c r="M3" s="45"/>
      <c r="N3" s="52"/>
      <c r="O3" s="21"/>
      <c r="P3" s="29"/>
      <c r="Q3" s="12"/>
      <c r="R3" s="12">
        <v>1994</v>
      </c>
      <c r="S3" s="12"/>
      <c r="T3" s="49"/>
      <c r="U3" s="49"/>
      <c r="V3" s="7" t="s">
        <v>102</v>
      </c>
      <c r="W3" s="7"/>
      <c r="X3" s="3" t="s">
        <v>2</v>
      </c>
      <c r="Y3" s="2" t="s">
        <v>94</v>
      </c>
      <c r="Z3" s="2" t="s">
        <v>14</v>
      </c>
      <c r="AA3" s="2"/>
      <c r="AB3" s="2"/>
      <c r="AC3" s="2"/>
      <c r="AD3" s="2"/>
      <c r="AE3" s="2"/>
      <c r="AF3" s="2"/>
      <c r="AG3" s="2" t="s">
        <v>71</v>
      </c>
      <c r="AH3" s="2" t="s">
        <v>52</v>
      </c>
      <c r="AI3" s="2" t="s">
        <v>2</v>
      </c>
      <c r="AJ3" s="7"/>
      <c r="AK3" s="7" t="s">
        <v>33</v>
      </c>
      <c r="AL3" s="7" t="s">
        <v>32</v>
      </c>
      <c r="AM3" s="7"/>
      <c r="AN3" s="7" t="s">
        <v>20</v>
      </c>
      <c r="AO3" s="7" t="s">
        <v>21</v>
      </c>
      <c r="AP3" s="7"/>
      <c r="AQ3" s="7"/>
      <c r="AR3" s="7"/>
      <c r="AS3" s="7" t="s">
        <v>17</v>
      </c>
      <c r="AT3" s="7" t="s">
        <v>18</v>
      </c>
      <c r="AU3" s="7"/>
      <c r="AV3" s="7"/>
      <c r="AW3" s="7" t="s">
        <v>19</v>
      </c>
      <c r="AX3" s="7" t="s">
        <v>75</v>
      </c>
      <c r="AY3" s="13" t="s">
        <v>2</v>
      </c>
      <c r="AZ3" s="13" t="s">
        <v>79</v>
      </c>
      <c r="BA3" s="13" t="s">
        <v>66</v>
      </c>
      <c r="BB3" s="13"/>
      <c r="BC3" s="7" t="s">
        <v>25</v>
      </c>
      <c r="BD3" s="13" t="s">
        <v>25</v>
      </c>
      <c r="BE3" s="7" t="s">
        <v>26</v>
      </c>
      <c r="BF3" s="7" t="s">
        <v>19</v>
      </c>
      <c r="BG3" s="13" t="s">
        <v>27</v>
      </c>
      <c r="BH3" s="7"/>
      <c r="BI3" s="13" t="s">
        <v>42</v>
      </c>
      <c r="BJ3" s="7" t="s">
        <v>15</v>
      </c>
      <c r="BK3" s="7" t="s">
        <v>43</v>
      </c>
      <c r="BL3" s="7" t="s">
        <v>44</v>
      </c>
      <c r="BM3" s="7"/>
      <c r="BN3" s="7" t="s">
        <v>39</v>
      </c>
      <c r="BO3" s="7" t="s">
        <v>92</v>
      </c>
      <c r="BP3" s="7" t="s">
        <v>40</v>
      </c>
      <c r="BQ3" s="7" t="s">
        <v>36</v>
      </c>
      <c r="BR3" s="7" t="s">
        <v>80</v>
      </c>
      <c r="BS3" s="7" t="s">
        <v>5</v>
      </c>
      <c r="BT3" s="7" t="s">
        <v>69</v>
      </c>
      <c r="BU3" s="7" t="s">
        <v>55</v>
      </c>
      <c r="BV3" s="7" t="s">
        <v>69</v>
      </c>
      <c r="BW3" s="75"/>
      <c r="BX3" s="75"/>
      <c r="BY3" s="75"/>
      <c r="BZ3" s="75"/>
      <c r="CA3" s="75"/>
      <c r="CC3" s="60"/>
      <c r="GD3" s="12"/>
      <c r="GE3" s="12"/>
      <c r="GF3" s="12"/>
      <c r="GG3" s="12"/>
      <c r="GH3" s="12"/>
      <c r="GI3" s="12"/>
      <c r="GJ3" s="12"/>
      <c r="GK3" s="12"/>
      <c r="GL3" s="12"/>
    </row>
    <row r="4" spans="1:194" s="6" customFormat="1" x14ac:dyDescent="0.2">
      <c r="A4" s="8" t="s">
        <v>85</v>
      </c>
      <c r="B4" s="24"/>
      <c r="C4" s="24"/>
      <c r="D4" s="24"/>
      <c r="E4" s="32"/>
      <c r="F4" s="32"/>
      <c r="G4" s="32"/>
      <c r="H4" s="32"/>
      <c r="I4" s="9"/>
      <c r="J4" s="34"/>
      <c r="K4" s="12"/>
      <c r="L4" s="12"/>
      <c r="M4" s="44"/>
      <c r="N4" s="7"/>
      <c r="O4" s="2"/>
      <c r="P4" s="28"/>
      <c r="Q4" s="12"/>
      <c r="R4" s="12">
        <v>2247</v>
      </c>
      <c r="S4" s="12"/>
      <c r="T4" s="49"/>
      <c r="U4" s="49"/>
      <c r="V4" s="7" t="s">
        <v>103</v>
      </c>
      <c r="W4" s="7"/>
      <c r="X4" s="3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 t="s">
        <v>76</v>
      </c>
      <c r="AY4" s="13"/>
      <c r="AZ4" s="13"/>
      <c r="BA4" s="13"/>
      <c r="BB4" s="13"/>
      <c r="BC4" s="7"/>
      <c r="BD4" s="13"/>
      <c r="BE4" s="7"/>
      <c r="BF4" s="7"/>
      <c r="BG4" s="13"/>
      <c r="BH4" s="7"/>
      <c r="BI4" s="13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5"/>
      <c r="BX4" s="75"/>
      <c r="BY4" s="75"/>
      <c r="BZ4" s="75"/>
      <c r="CA4" s="75"/>
      <c r="CC4" s="60"/>
      <c r="GD4" s="12"/>
      <c r="GE4" s="12"/>
      <c r="GF4" s="12"/>
      <c r="GG4" s="12"/>
      <c r="GH4" s="12"/>
      <c r="GI4" s="12"/>
      <c r="GJ4" s="12"/>
      <c r="GK4" s="12"/>
      <c r="GL4" s="12"/>
    </row>
    <row r="5" spans="1:194" s="6" customFormat="1" ht="15.75" x14ac:dyDescent="0.25">
      <c r="B5" s="12"/>
      <c r="C5" s="65"/>
      <c r="D5" s="65"/>
      <c r="E5" s="30"/>
      <c r="F5" s="30"/>
      <c r="G5" s="30"/>
      <c r="H5" s="30"/>
      <c r="I5" s="71"/>
      <c r="J5" s="34"/>
      <c r="K5" s="12"/>
      <c r="L5" s="12"/>
      <c r="M5" s="44"/>
      <c r="N5" s="7"/>
      <c r="O5" s="33"/>
      <c r="P5" s="28"/>
      <c r="Q5" s="12"/>
      <c r="R5" s="12"/>
      <c r="S5" s="12"/>
      <c r="T5" s="49"/>
      <c r="U5" s="49"/>
      <c r="V5" s="7"/>
      <c r="W5" s="7"/>
      <c r="X5" s="2"/>
      <c r="Y5" s="2" t="s">
        <v>6</v>
      </c>
      <c r="Z5" s="2"/>
      <c r="AA5" s="25" t="s">
        <v>104</v>
      </c>
      <c r="AB5" s="25" t="s">
        <v>105</v>
      </c>
      <c r="AC5" s="25"/>
      <c r="AD5" s="36"/>
      <c r="AE5" s="2" t="s">
        <v>72</v>
      </c>
      <c r="AF5" s="2" t="s">
        <v>4</v>
      </c>
      <c r="AG5" s="2"/>
      <c r="AH5" s="2"/>
      <c r="AI5" s="2"/>
      <c r="AJ5" s="7"/>
      <c r="AK5" s="7"/>
      <c r="AL5" s="7"/>
      <c r="AM5" s="7"/>
      <c r="AN5" s="7"/>
      <c r="AO5" s="7"/>
      <c r="AP5" s="7"/>
      <c r="AQ5" s="7"/>
      <c r="AR5" s="7"/>
      <c r="AS5" s="7" t="s">
        <v>22</v>
      </c>
      <c r="AT5" s="7" t="s">
        <v>23</v>
      </c>
      <c r="AU5" s="7"/>
      <c r="AV5" s="7"/>
      <c r="AW5" s="7" t="s">
        <v>24</v>
      </c>
      <c r="AX5" s="7" t="s">
        <v>77</v>
      </c>
      <c r="AY5" s="13" t="s">
        <v>22</v>
      </c>
      <c r="AZ5" s="13"/>
      <c r="BA5" s="13"/>
      <c r="BB5" s="13"/>
      <c r="BC5" s="7" t="s">
        <v>28</v>
      </c>
      <c r="BD5" s="13" t="s">
        <v>29</v>
      </c>
      <c r="BE5" s="7"/>
      <c r="BF5" s="7" t="s">
        <v>30</v>
      </c>
      <c r="BG5" s="13"/>
      <c r="BH5" s="7"/>
      <c r="BI5" s="14"/>
      <c r="BJ5" s="7"/>
      <c r="BK5" s="7"/>
      <c r="BL5" s="7"/>
      <c r="BM5" s="7"/>
      <c r="BN5" s="7"/>
      <c r="BO5" s="7"/>
      <c r="BP5" s="7"/>
      <c r="BQ5" s="7"/>
      <c r="BR5" s="7" t="s">
        <v>8</v>
      </c>
      <c r="BS5" s="7"/>
      <c r="BT5" s="7"/>
      <c r="BU5" s="7"/>
      <c r="BV5" s="7"/>
      <c r="BW5" s="75"/>
      <c r="BX5" s="75"/>
      <c r="BY5" s="75"/>
      <c r="BZ5" s="75"/>
      <c r="CA5" s="75"/>
      <c r="CC5" s="60"/>
      <c r="GD5" s="12"/>
      <c r="GE5" s="12"/>
      <c r="GF5" s="12"/>
      <c r="GG5" s="12"/>
      <c r="GH5" s="12"/>
      <c r="GI5" s="12"/>
      <c r="GJ5" s="12"/>
      <c r="GK5" s="12"/>
      <c r="GL5" s="12"/>
    </row>
    <row r="6" spans="1:194" s="60" customFormat="1" ht="30" x14ac:dyDescent="0.2">
      <c r="A6" s="54" t="s">
        <v>37</v>
      </c>
      <c r="B6" s="55" t="s">
        <v>38</v>
      </c>
      <c r="C6" s="66" t="s">
        <v>144</v>
      </c>
      <c r="D6" s="66" t="s">
        <v>150</v>
      </c>
      <c r="E6" s="53" t="s">
        <v>109</v>
      </c>
      <c r="F6" s="53" t="s">
        <v>118</v>
      </c>
      <c r="G6" s="46" t="s">
        <v>87</v>
      </c>
      <c r="H6" s="53" t="s">
        <v>118</v>
      </c>
      <c r="I6" s="66" t="s">
        <v>151</v>
      </c>
      <c r="J6" s="72" t="s">
        <v>152</v>
      </c>
      <c r="K6" s="55" t="s">
        <v>82</v>
      </c>
      <c r="L6" s="55" t="s">
        <v>84</v>
      </c>
      <c r="M6" s="46" t="s">
        <v>86</v>
      </c>
      <c r="N6" s="46" t="s">
        <v>1</v>
      </c>
      <c r="O6" s="56" t="s">
        <v>109</v>
      </c>
      <c r="P6" s="57" t="s">
        <v>83</v>
      </c>
      <c r="Q6" s="55" t="s">
        <v>35</v>
      </c>
      <c r="R6" s="55" t="s">
        <v>36</v>
      </c>
      <c r="S6" s="55" t="s">
        <v>36</v>
      </c>
      <c r="T6" s="58" t="s">
        <v>90</v>
      </c>
      <c r="U6" s="58"/>
      <c r="V6" s="46" t="s">
        <v>100</v>
      </c>
      <c r="W6" s="46" t="s">
        <v>101</v>
      </c>
      <c r="X6" s="46" t="s">
        <v>2</v>
      </c>
      <c r="Y6" s="46" t="s">
        <v>94</v>
      </c>
      <c r="Z6" s="46" t="s">
        <v>14</v>
      </c>
      <c r="AA6" s="46" t="s">
        <v>17</v>
      </c>
      <c r="AB6" s="46" t="s">
        <v>17</v>
      </c>
      <c r="AC6" s="46" t="s">
        <v>3</v>
      </c>
      <c r="AD6" s="46" t="s">
        <v>3</v>
      </c>
      <c r="AE6" s="46" t="s">
        <v>72</v>
      </c>
      <c r="AF6" s="46" t="s">
        <v>4</v>
      </c>
      <c r="AG6" s="46" t="s">
        <v>71</v>
      </c>
      <c r="AH6" s="46" t="s">
        <v>52</v>
      </c>
      <c r="AI6" s="46" t="s">
        <v>2</v>
      </c>
      <c r="AJ6" s="46"/>
      <c r="AK6" s="46" t="s">
        <v>33</v>
      </c>
      <c r="AL6" s="46" t="s">
        <v>32</v>
      </c>
      <c r="AM6" s="46"/>
      <c r="AN6" s="46" t="s">
        <v>20</v>
      </c>
      <c r="AO6" s="46" t="s">
        <v>21</v>
      </c>
      <c r="AP6" s="46" t="s">
        <v>134</v>
      </c>
      <c r="AQ6" s="46" t="s">
        <v>135</v>
      </c>
      <c r="AR6" s="46" t="s">
        <v>139</v>
      </c>
      <c r="AS6" s="46" t="s">
        <v>17</v>
      </c>
      <c r="AT6" s="46" t="s">
        <v>18</v>
      </c>
      <c r="AU6" s="46" t="s">
        <v>107</v>
      </c>
      <c r="AV6" s="46" t="s">
        <v>137</v>
      </c>
      <c r="AW6" s="46" t="s">
        <v>19</v>
      </c>
      <c r="AX6" s="46" t="s">
        <v>93</v>
      </c>
      <c r="AY6" s="46" t="s">
        <v>2</v>
      </c>
      <c r="AZ6" s="59" t="s">
        <v>79</v>
      </c>
      <c r="BA6" s="59" t="s">
        <v>66</v>
      </c>
      <c r="BB6" s="59" t="s">
        <v>140</v>
      </c>
      <c r="BC6" s="46" t="s">
        <v>25</v>
      </c>
      <c r="BD6" s="46" t="s">
        <v>25</v>
      </c>
      <c r="BE6" s="46" t="s">
        <v>26</v>
      </c>
      <c r="BF6" s="46" t="s">
        <v>19</v>
      </c>
      <c r="BG6" s="46" t="s">
        <v>27</v>
      </c>
      <c r="BH6" s="46"/>
      <c r="BI6" s="46" t="s">
        <v>42</v>
      </c>
      <c r="BJ6" s="46" t="s">
        <v>15</v>
      </c>
      <c r="BK6" s="46" t="s">
        <v>43</v>
      </c>
      <c r="BL6" s="46" t="s">
        <v>44</v>
      </c>
      <c r="BM6" s="46"/>
      <c r="BN6" s="46" t="s">
        <v>39</v>
      </c>
      <c r="BO6" s="46" t="s">
        <v>92</v>
      </c>
      <c r="BP6" s="46" t="s">
        <v>40</v>
      </c>
      <c r="BQ6" s="46" t="s">
        <v>36</v>
      </c>
      <c r="BR6" s="46" t="s">
        <v>80</v>
      </c>
      <c r="BS6" s="46" t="s">
        <v>5</v>
      </c>
      <c r="BT6" s="46" t="s">
        <v>98</v>
      </c>
      <c r="BU6" s="46" t="s">
        <v>55</v>
      </c>
      <c r="BV6" s="46" t="s">
        <v>98</v>
      </c>
      <c r="BW6" s="76" t="s">
        <v>162</v>
      </c>
      <c r="BX6" s="76" t="s">
        <v>163</v>
      </c>
      <c r="BY6" s="76" t="s">
        <v>164</v>
      </c>
      <c r="BZ6" s="76" t="s">
        <v>165</v>
      </c>
      <c r="CA6" s="78" t="s">
        <v>167</v>
      </c>
      <c r="CB6" s="46" t="s">
        <v>54</v>
      </c>
      <c r="GD6" s="42"/>
      <c r="GE6" s="42"/>
      <c r="GF6" s="42"/>
      <c r="GG6" s="42"/>
      <c r="GH6" s="42"/>
      <c r="GI6" s="42"/>
      <c r="GJ6" s="42"/>
      <c r="GK6" s="42"/>
      <c r="GL6" s="42"/>
    </row>
    <row r="7" spans="1:194" s="15" customFormat="1" x14ac:dyDescent="0.2">
      <c r="A7" s="106" t="s">
        <v>62</v>
      </c>
      <c r="B7" s="106" t="s">
        <v>62</v>
      </c>
      <c r="C7" s="107"/>
      <c r="D7" s="107"/>
      <c r="E7" s="108"/>
      <c r="F7" s="108"/>
      <c r="G7" s="109"/>
      <c r="H7" s="108"/>
      <c r="I7" s="83"/>
      <c r="J7" s="84"/>
      <c r="K7" s="106" t="s">
        <v>62</v>
      </c>
      <c r="L7" s="106" t="s">
        <v>81</v>
      </c>
      <c r="M7" s="110" t="s">
        <v>62</v>
      </c>
      <c r="N7" s="109" t="s">
        <v>81</v>
      </c>
      <c r="O7" s="111" t="s">
        <v>81</v>
      </c>
      <c r="P7" s="112"/>
      <c r="Q7" s="106" t="s">
        <v>62</v>
      </c>
      <c r="R7" s="106" t="s">
        <v>62</v>
      </c>
      <c r="S7" s="106" t="s">
        <v>62</v>
      </c>
      <c r="T7" s="113" t="s">
        <v>62</v>
      </c>
      <c r="U7" s="113"/>
      <c r="V7" s="102" t="s">
        <v>9</v>
      </c>
      <c r="W7" s="102" t="s">
        <v>9</v>
      </c>
      <c r="X7" s="102" t="s">
        <v>130</v>
      </c>
      <c r="Y7" s="101" t="s">
        <v>50</v>
      </c>
      <c r="Z7" s="101" t="s">
        <v>16</v>
      </c>
      <c r="AA7" s="101" t="s">
        <v>11</v>
      </c>
      <c r="AB7" s="101" t="s">
        <v>11</v>
      </c>
      <c r="AC7" s="101" t="s">
        <v>12</v>
      </c>
      <c r="AD7" s="101" t="s">
        <v>132</v>
      </c>
      <c r="AE7" s="101" t="s">
        <v>70</v>
      </c>
      <c r="AF7" s="101" t="s">
        <v>13</v>
      </c>
      <c r="AG7" s="101" t="s">
        <v>7</v>
      </c>
      <c r="AH7" s="101" t="s">
        <v>56</v>
      </c>
      <c r="AI7" s="101" t="s">
        <v>9</v>
      </c>
      <c r="AJ7" s="92"/>
      <c r="AK7" s="92" t="s">
        <v>46</v>
      </c>
      <c r="AL7" s="92" t="s">
        <v>46</v>
      </c>
      <c r="AM7" s="92"/>
      <c r="AN7" s="92" t="s">
        <v>73</v>
      </c>
      <c r="AO7" s="92" t="s">
        <v>74</v>
      </c>
      <c r="AP7" s="92" t="s">
        <v>136</v>
      </c>
      <c r="AQ7" s="92" t="s">
        <v>138</v>
      </c>
      <c r="AR7" s="93" t="s">
        <v>10</v>
      </c>
      <c r="AS7" s="92" t="s">
        <v>59</v>
      </c>
      <c r="AT7" s="92" t="s">
        <v>58</v>
      </c>
      <c r="AU7" s="92"/>
      <c r="AV7" s="92"/>
      <c r="AW7" s="92" t="s">
        <v>57</v>
      </c>
      <c r="AX7" s="92" t="s">
        <v>78</v>
      </c>
      <c r="AY7" s="93" t="s">
        <v>60</v>
      </c>
      <c r="AZ7" s="93" t="s">
        <v>79</v>
      </c>
      <c r="BA7" s="93" t="s">
        <v>45</v>
      </c>
      <c r="BB7" s="93"/>
      <c r="BC7" s="92" t="s">
        <v>31</v>
      </c>
      <c r="BD7" s="93" t="s">
        <v>10</v>
      </c>
      <c r="BE7" s="93" t="s">
        <v>10</v>
      </c>
      <c r="BF7" s="93" t="s">
        <v>10</v>
      </c>
      <c r="BG7" s="93" t="s">
        <v>10</v>
      </c>
      <c r="BH7" s="92"/>
      <c r="BI7" s="93" t="s">
        <v>47</v>
      </c>
      <c r="BJ7" s="93" t="s">
        <v>47</v>
      </c>
      <c r="BK7" s="93" t="s">
        <v>47</v>
      </c>
      <c r="BL7" s="93" t="s">
        <v>61</v>
      </c>
      <c r="BM7" s="92"/>
      <c r="BN7" s="92" t="s">
        <v>48</v>
      </c>
      <c r="BO7" s="92" t="s">
        <v>91</v>
      </c>
      <c r="BP7" s="92" t="s">
        <v>49</v>
      </c>
      <c r="BQ7" s="92" t="s">
        <v>7</v>
      </c>
      <c r="BR7" s="92" t="s">
        <v>61</v>
      </c>
      <c r="BS7" s="92" t="s">
        <v>51</v>
      </c>
      <c r="BT7" s="92" t="s">
        <v>61</v>
      </c>
      <c r="BU7" s="92" t="s">
        <v>51</v>
      </c>
      <c r="BV7" s="92" t="s">
        <v>61</v>
      </c>
      <c r="BW7" s="103"/>
      <c r="BX7" s="103"/>
      <c r="BY7" s="103"/>
      <c r="BZ7" s="103"/>
      <c r="CA7" s="114"/>
      <c r="CB7" s="92" t="s">
        <v>54</v>
      </c>
      <c r="CC7" s="62"/>
      <c r="GD7" s="31"/>
      <c r="GE7" s="31"/>
      <c r="GF7" s="31"/>
      <c r="GG7" s="31"/>
      <c r="GH7" s="31"/>
      <c r="GI7" s="31"/>
      <c r="GJ7" s="31"/>
      <c r="GK7" s="31"/>
      <c r="GL7" s="31"/>
    </row>
    <row r="8" spans="1:194" s="15" customFormat="1" x14ac:dyDescent="0.2">
      <c r="A8" s="106"/>
      <c r="B8" s="106"/>
      <c r="C8" s="107"/>
      <c r="D8" s="107"/>
      <c r="E8" s="108"/>
      <c r="F8" s="108"/>
      <c r="G8" s="109"/>
      <c r="H8" s="108"/>
      <c r="I8" s="83"/>
      <c r="J8" s="84"/>
      <c r="K8" s="106"/>
      <c r="L8" s="106"/>
      <c r="M8" s="110"/>
      <c r="N8" s="109"/>
      <c r="O8" s="111"/>
      <c r="P8" s="112"/>
      <c r="Q8" s="106"/>
      <c r="R8" s="106"/>
      <c r="S8" s="106"/>
      <c r="T8" s="113"/>
      <c r="U8" s="113"/>
      <c r="V8" s="102"/>
      <c r="W8" s="102"/>
      <c r="X8" s="102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92"/>
      <c r="AK8" s="92"/>
      <c r="AL8" s="92"/>
      <c r="AM8" s="92"/>
      <c r="AN8" s="92"/>
      <c r="AO8" s="92"/>
      <c r="AP8" s="92"/>
      <c r="AQ8" s="92"/>
      <c r="AR8" s="93"/>
      <c r="AS8" s="92"/>
      <c r="AT8" s="92"/>
      <c r="AU8" s="92"/>
      <c r="AV8" s="92"/>
      <c r="AW8" s="92"/>
      <c r="AX8" s="92"/>
      <c r="AY8" s="93"/>
      <c r="AZ8" s="93"/>
      <c r="BA8" s="93"/>
      <c r="BB8" s="93"/>
      <c r="BC8" s="92"/>
      <c r="BD8" s="93"/>
      <c r="BE8" s="93"/>
      <c r="BF8" s="93"/>
      <c r="BG8" s="93"/>
      <c r="BH8" s="92"/>
      <c r="BI8" s="93"/>
      <c r="BJ8" s="93"/>
      <c r="BK8" s="93"/>
      <c r="BL8" s="93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115">
        <f>SUBTOTAL(9,BW9:BW63)</f>
        <v>25</v>
      </c>
      <c r="BX8" s="115">
        <f>SUBTOTAL(9,BX9:BX63)</f>
        <v>4</v>
      </c>
      <c r="BY8" s="115">
        <f>SUBTOTAL(9,BY9:BY63)</f>
        <v>19</v>
      </c>
      <c r="BZ8" s="115">
        <f>SUBTOTAL(9,BZ9:BZ63)</f>
        <v>14</v>
      </c>
      <c r="CA8" s="114"/>
      <c r="CB8" s="92"/>
      <c r="CC8" s="62"/>
      <c r="GD8" s="31"/>
      <c r="GE8" s="31"/>
      <c r="GF8" s="31"/>
      <c r="GG8" s="31"/>
      <c r="GH8" s="31"/>
      <c r="GI8" s="31"/>
      <c r="GJ8" s="31"/>
      <c r="GK8" s="31"/>
      <c r="GL8" s="31"/>
    </row>
    <row r="9" spans="1:194" s="6" customFormat="1" x14ac:dyDescent="0.2">
      <c r="A9" s="80" t="s">
        <v>171</v>
      </c>
      <c r="B9" s="80" t="str">
        <f t="shared" ref="B9:B21" si="0">CONCATENATE(E9,F9,G9,"-",H9)</f>
        <v>5101CP-01</v>
      </c>
      <c r="C9" s="83"/>
      <c r="D9" s="83"/>
      <c r="E9" s="82" t="s">
        <v>148</v>
      </c>
      <c r="F9" s="82" t="s">
        <v>119</v>
      </c>
      <c r="G9" s="80" t="s">
        <v>126</v>
      </c>
      <c r="H9" s="82" t="s">
        <v>119</v>
      </c>
      <c r="I9" s="83"/>
      <c r="J9" s="84"/>
      <c r="K9" s="81" t="s">
        <v>108</v>
      </c>
      <c r="L9" s="81" t="s">
        <v>114</v>
      </c>
      <c r="M9" s="85" t="s">
        <v>107</v>
      </c>
      <c r="N9" s="80" t="s">
        <v>114</v>
      </c>
      <c r="O9" s="80" t="s">
        <v>112</v>
      </c>
      <c r="P9" s="82" t="s">
        <v>111</v>
      </c>
      <c r="Q9" s="81" t="s">
        <v>145</v>
      </c>
      <c r="R9" s="81" t="s">
        <v>146</v>
      </c>
      <c r="S9" s="81"/>
      <c r="T9" s="86"/>
      <c r="U9" s="86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7"/>
      <c r="BA9" s="87"/>
      <c r="BB9" s="87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114"/>
      <c r="BX9" s="114"/>
      <c r="BY9" s="116">
        <v>2</v>
      </c>
      <c r="BZ9" s="116">
        <v>1</v>
      </c>
      <c r="CA9" s="114"/>
      <c r="CB9" s="89"/>
      <c r="CC9" s="60"/>
      <c r="FY9" s="12"/>
      <c r="FZ9" s="12"/>
      <c r="GA9" s="12"/>
      <c r="GB9" s="12"/>
      <c r="GC9" s="12"/>
      <c r="GD9" s="12"/>
      <c r="GE9" s="12"/>
      <c r="GF9" s="12"/>
      <c r="GG9" s="12"/>
    </row>
    <row r="10" spans="1:194" s="6" customFormat="1" x14ac:dyDescent="0.2">
      <c r="A10" s="80" t="s">
        <v>171</v>
      </c>
      <c r="B10" s="80" t="str">
        <f t="shared" si="0"/>
        <v>5101CV-01</v>
      </c>
      <c r="C10" s="83"/>
      <c r="D10" s="83"/>
      <c r="E10" s="82" t="s">
        <v>148</v>
      </c>
      <c r="F10" s="82" t="s">
        <v>119</v>
      </c>
      <c r="G10" s="80" t="s">
        <v>124</v>
      </c>
      <c r="H10" s="82" t="s">
        <v>119</v>
      </c>
      <c r="I10" s="83"/>
      <c r="J10" s="84"/>
      <c r="K10" s="81" t="s">
        <v>131</v>
      </c>
      <c r="L10" s="89"/>
      <c r="M10" s="85"/>
      <c r="N10" s="80" t="s">
        <v>114</v>
      </c>
      <c r="O10" s="80" t="s">
        <v>112</v>
      </c>
      <c r="P10" s="82" t="s">
        <v>111</v>
      </c>
      <c r="Q10" s="81" t="s">
        <v>141</v>
      </c>
      <c r="R10" s="81" t="s">
        <v>168</v>
      </c>
      <c r="S10" s="81"/>
      <c r="T10" s="86"/>
      <c r="U10" s="90"/>
      <c r="V10" s="80"/>
      <c r="W10" s="80"/>
      <c r="X10" s="87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114"/>
      <c r="BX10" s="114">
        <v>1</v>
      </c>
      <c r="BY10" s="114"/>
      <c r="BZ10" s="114"/>
      <c r="CA10" s="114"/>
      <c r="CB10" s="89" t="s">
        <v>197</v>
      </c>
      <c r="CC10" s="60"/>
      <c r="GD10" s="12"/>
      <c r="GE10" s="12"/>
      <c r="GF10" s="12"/>
      <c r="GG10" s="12"/>
      <c r="GH10" s="12"/>
      <c r="GI10" s="12"/>
      <c r="GJ10" s="12"/>
      <c r="GK10" s="12"/>
      <c r="GL10" s="12"/>
    </row>
    <row r="11" spans="1:194" s="6" customFormat="1" x14ac:dyDescent="0.2">
      <c r="A11" s="80" t="s">
        <v>171</v>
      </c>
      <c r="B11" s="80" t="str">
        <f t="shared" si="0"/>
        <v>5101FS-01</v>
      </c>
      <c r="C11" s="83"/>
      <c r="D11" s="83"/>
      <c r="E11" s="82" t="s">
        <v>148</v>
      </c>
      <c r="F11" s="82" t="s">
        <v>119</v>
      </c>
      <c r="G11" s="80" t="s">
        <v>203</v>
      </c>
      <c r="H11" s="82" t="s">
        <v>119</v>
      </c>
      <c r="I11" s="83"/>
      <c r="J11" s="84"/>
      <c r="K11" s="81" t="s">
        <v>204</v>
      </c>
      <c r="L11" s="89"/>
      <c r="M11" s="85"/>
      <c r="N11" s="80" t="s">
        <v>114</v>
      </c>
      <c r="O11" s="80" t="s">
        <v>112</v>
      </c>
      <c r="P11" s="82" t="s">
        <v>111</v>
      </c>
      <c r="Q11" s="81" t="s">
        <v>205</v>
      </c>
      <c r="R11" s="81" t="s">
        <v>206</v>
      </c>
      <c r="S11" s="81"/>
      <c r="T11" s="86"/>
      <c r="U11" s="90"/>
      <c r="V11" s="80"/>
      <c r="W11" s="80"/>
      <c r="X11" s="87"/>
      <c r="Y11" s="80"/>
      <c r="Z11" s="80"/>
      <c r="AA11" s="88"/>
      <c r="AB11" s="88"/>
      <c r="AC11" s="88"/>
      <c r="AD11" s="88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114"/>
      <c r="BX11" s="114"/>
      <c r="BY11" s="114">
        <v>1</v>
      </c>
      <c r="BZ11" s="114"/>
      <c r="CA11" s="114"/>
      <c r="CB11" s="89"/>
      <c r="CC11" s="60"/>
      <c r="GD11" s="12"/>
      <c r="GE11" s="12"/>
      <c r="GF11" s="12"/>
      <c r="GG11" s="12"/>
      <c r="GH11" s="12"/>
      <c r="GI11" s="12"/>
      <c r="GJ11" s="12"/>
      <c r="GK11" s="12"/>
      <c r="GL11" s="12"/>
    </row>
    <row r="12" spans="1:194" s="6" customFormat="1" x14ac:dyDescent="0.2">
      <c r="A12" s="80" t="s">
        <v>171</v>
      </c>
      <c r="B12" s="80" t="str">
        <f t="shared" si="0"/>
        <v>5101FT-01</v>
      </c>
      <c r="C12" s="83"/>
      <c r="D12" s="83"/>
      <c r="E12" s="82" t="s">
        <v>148</v>
      </c>
      <c r="F12" s="82" t="s">
        <v>119</v>
      </c>
      <c r="G12" s="80" t="s">
        <v>143</v>
      </c>
      <c r="H12" s="82" t="s">
        <v>119</v>
      </c>
      <c r="I12" s="83"/>
      <c r="J12" s="84"/>
      <c r="K12" s="81" t="s">
        <v>117</v>
      </c>
      <c r="L12" s="89"/>
      <c r="M12" s="85"/>
      <c r="N12" s="80" t="s">
        <v>114</v>
      </c>
      <c r="O12" s="80" t="s">
        <v>112</v>
      </c>
      <c r="P12" s="82" t="s">
        <v>111</v>
      </c>
      <c r="Q12" s="81" t="s">
        <v>141</v>
      </c>
      <c r="R12" s="81" t="s">
        <v>142</v>
      </c>
      <c r="S12" s="81" t="s">
        <v>222</v>
      </c>
      <c r="T12" s="86"/>
      <c r="U12" s="90"/>
      <c r="V12" s="80"/>
      <c r="W12" s="80"/>
      <c r="X12" s="87"/>
      <c r="Y12" s="80"/>
      <c r="Z12" s="80"/>
      <c r="AA12" s="88"/>
      <c r="AB12" s="88"/>
      <c r="AC12" s="88"/>
      <c r="AD12" s="88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114">
        <v>1</v>
      </c>
      <c r="BX12" s="114"/>
      <c r="BY12" s="114"/>
      <c r="BZ12" s="114"/>
      <c r="CA12" s="114"/>
      <c r="CB12" s="89" t="s">
        <v>201</v>
      </c>
      <c r="CC12" s="60"/>
      <c r="GD12" s="12"/>
      <c r="GE12" s="12"/>
      <c r="GF12" s="12"/>
      <c r="GG12" s="12"/>
      <c r="GH12" s="12"/>
      <c r="GI12" s="12"/>
      <c r="GJ12" s="12"/>
      <c r="GK12" s="12"/>
      <c r="GL12" s="12"/>
    </row>
    <row r="13" spans="1:194" s="6" customFormat="1" x14ac:dyDescent="0.2">
      <c r="A13" s="80" t="s">
        <v>171</v>
      </c>
      <c r="B13" s="80" t="str">
        <f t="shared" si="0"/>
        <v>5101TT-01</v>
      </c>
      <c r="C13" s="83"/>
      <c r="D13" s="83"/>
      <c r="E13" s="82" t="s">
        <v>148</v>
      </c>
      <c r="F13" s="82" t="s">
        <v>119</v>
      </c>
      <c r="G13" s="80" t="s">
        <v>125</v>
      </c>
      <c r="H13" s="82" t="s">
        <v>119</v>
      </c>
      <c r="I13" s="83"/>
      <c r="J13" s="84"/>
      <c r="K13" s="81" t="s">
        <v>106</v>
      </c>
      <c r="L13" s="85" t="s">
        <v>115</v>
      </c>
      <c r="M13" s="89" t="s">
        <v>187</v>
      </c>
      <c r="N13" s="80" t="s">
        <v>114</v>
      </c>
      <c r="O13" s="80" t="s">
        <v>112</v>
      </c>
      <c r="P13" s="82" t="s">
        <v>111</v>
      </c>
      <c r="Q13" s="81" t="s">
        <v>141</v>
      </c>
      <c r="R13" s="81" t="s">
        <v>170</v>
      </c>
      <c r="S13" s="81"/>
      <c r="T13" s="86"/>
      <c r="U13" s="86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114">
        <v>1</v>
      </c>
      <c r="BX13" s="114"/>
      <c r="BY13" s="114"/>
      <c r="BZ13" s="114"/>
      <c r="CA13" s="114"/>
      <c r="CB13" s="89" t="s">
        <v>198</v>
      </c>
      <c r="CC13" s="60"/>
      <c r="GD13" s="12"/>
      <c r="GE13" s="12"/>
      <c r="GF13" s="12"/>
      <c r="GG13" s="12"/>
      <c r="GH13" s="12"/>
      <c r="GI13" s="12"/>
      <c r="GJ13" s="12"/>
      <c r="GK13" s="12"/>
      <c r="GL13" s="12"/>
    </row>
    <row r="14" spans="1:194" s="6" customFormat="1" x14ac:dyDescent="0.2">
      <c r="A14" s="80" t="s">
        <v>171</v>
      </c>
      <c r="B14" s="80" t="str">
        <f t="shared" si="0"/>
        <v>5101TT-02</v>
      </c>
      <c r="C14" s="83"/>
      <c r="D14" s="83"/>
      <c r="E14" s="82" t="s">
        <v>148</v>
      </c>
      <c r="F14" s="82" t="s">
        <v>119</v>
      </c>
      <c r="G14" s="80" t="s">
        <v>125</v>
      </c>
      <c r="H14" s="82" t="s">
        <v>120</v>
      </c>
      <c r="I14" s="83"/>
      <c r="J14" s="84"/>
      <c r="K14" s="81" t="s">
        <v>106</v>
      </c>
      <c r="L14" s="85" t="s">
        <v>115</v>
      </c>
      <c r="M14" s="89" t="s">
        <v>186</v>
      </c>
      <c r="N14" s="80" t="s">
        <v>114</v>
      </c>
      <c r="O14" s="80" t="s">
        <v>112</v>
      </c>
      <c r="P14" s="82" t="s">
        <v>111</v>
      </c>
      <c r="Q14" s="81" t="s">
        <v>141</v>
      </c>
      <c r="R14" s="81" t="s">
        <v>170</v>
      </c>
      <c r="S14" s="81"/>
      <c r="T14" s="86"/>
      <c r="U14" s="86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114">
        <v>1</v>
      </c>
      <c r="BX14" s="114"/>
      <c r="BY14" s="114"/>
      <c r="BZ14" s="114"/>
      <c r="CA14" s="114"/>
      <c r="CB14" s="89" t="s">
        <v>198</v>
      </c>
      <c r="CC14" s="60"/>
      <c r="GD14" s="12"/>
      <c r="GE14" s="12"/>
      <c r="GF14" s="12"/>
      <c r="GG14" s="12"/>
      <c r="GH14" s="12"/>
      <c r="GI14" s="12"/>
      <c r="GJ14" s="12"/>
      <c r="GK14" s="12"/>
      <c r="GL14" s="12"/>
    </row>
    <row r="15" spans="1:194" s="6" customFormat="1" x14ac:dyDescent="0.2">
      <c r="A15" s="80" t="s">
        <v>171</v>
      </c>
      <c r="B15" s="80" t="str">
        <f t="shared" si="0"/>
        <v>5101TT-03</v>
      </c>
      <c r="C15" s="83"/>
      <c r="D15" s="83"/>
      <c r="E15" s="82" t="s">
        <v>148</v>
      </c>
      <c r="F15" s="82" t="s">
        <v>119</v>
      </c>
      <c r="G15" s="80" t="s">
        <v>125</v>
      </c>
      <c r="H15" s="82" t="s">
        <v>121</v>
      </c>
      <c r="I15" s="83"/>
      <c r="J15" s="84"/>
      <c r="K15" s="81" t="s">
        <v>106</v>
      </c>
      <c r="L15" s="85" t="s">
        <v>116</v>
      </c>
      <c r="M15" s="89" t="s">
        <v>186</v>
      </c>
      <c r="N15" s="80" t="s">
        <v>114</v>
      </c>
      <c r="O15" s="80" t="s">
        <v>112</v>
      </c>
      <c r="P15" s="82" t="s">
        <v>111</v>
      </c>
      <c r="Q15" s="81" t="s">
        <v>141</v>
      </c>
      <c r="R15" s="81" t="s">
        <v>170</v>
      </c>
      <c r="S15" s="91"/>
      <c r="T15" s="86"/>
      <c r="U15" s="86"/>
      <c r="V15" s="80"/>
      <c r="W15" s="80"/>
      <c r="X15" s="87"/>
      <c r="Y15" s="80"/>
      <c r="Z15" s="80"/>
      <c r="AA15" s="88"/>
      <c r="AB15" s="88"/>
      <c r="AC15" s="88"/>
      <c r="AD15" s="88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114">
        <v>1</v>
      </c>
      <c r="BX15" s="114"/>
      <c r="BY15" s="114"/>
      <c r="BZ15" s="114"/>
      <c r="CA15" s="114"/>
      <c r="CB15" s="89" t="s">
        <v>198</v>
      </c>
      <c r="CC15" s="60"/>
      <c r="FY15" s="12"/>
      <c r="FZ15" s="12"/>
      <c r="GA15" s="12"/>
      <c r="GB15" s="12"/>
      <c r="GC15" s="12"/>
      <c r="GD15" s="12"/>
      <c r="GE15" s="12"/>
      <c r="GF15" s="12"/>
      <c r="GG15" s="12"/>
    </row>
    <row r="16" spans="1:194" s="6" customFormat="1" x14ac:dyDescent="0.2">
      <c r="A16" s="80" t="s">
        <v>171</v>
      </c>
      <c r="B16" s="80" t="str">
        <f t="shared" si="0"/>
        <v>5101CP-02</v>
      </c>
      <c r="C16" s="83"/>
      <c r="D16" s="83"/>
      <c r="E16" s="82" t="s">
        <v>148</v>
      </c>
      <c r="F16" s="82" t="s">
        <v>119</v>
      </c>
      <c r="G16" s="80" t="s">
        <v>126</v>
      </c>
      <c r="H16" s="82" t="s">
        <v>120</v>
      </c>
      <c r="I16" s="83"/>
      <c r="J16" s="84"/>
      <c r="K16" s="81" t="s">
        <v>108</v>
      </c>
      <c r="L16" s="81" t="s">
        <v>113</v>
      </c>
      <c r="M16" s="85" t="s">
        <v>107</v>
      </c>
      <c r="N16" s="80" t="s">
        <v>113</v>
      </c>
      <c r="O16" s="80" t="s">
        <v>112</v>
      </c>
      <c r="P16" s="82" t="s">
        <v>111</v>
      </c>
      <c r="Q16" s="81" t="s">
        <v>145</v>
      </c>
      <c r="R16" s="81" t="s">
        <v>146</v>
      </c>
      <c r="S16" s="81"/>
      <c r="T16" s="86"/>
      <c r="U16" s="86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7"/>
      <c r="BA16" s="87"/>
      <c r="BB16" s="87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114"/>
      <c r="BX16" s="114"/>
      <c r="BY16" s="116">
        <v>2</v>
      </c>
      <c r="BZ16" s="116">
        <v>1</v>
      </c>
      <c r="CA16" s="114"/>
      <c r="CB16" s="89"/>
      <c r="CC16" s="60"/>
      <c r="GD16" s="12"/>
      <c r="GE16" s="12"/>
      <c r="GF16" s="12"/>
      <c r="GG16" s="12"/>
      <c r="GH16" s="12"/>
      <c r="GI16" s="12"/>
      <c r="GJ16" s="12"/>
      <c r="GK16" s="12"/>
      <c r="GL16" s="12"/>
    </row>
    <row r="17" spans="1:194" s="6" customFormat="1" x14ac:dyDescent="0.2">
      <c r="A17" s="80" t="s">
        <v>171</v>
      </c>
      <c r="B17" s="80" t="str">
        <f t="shared" si="0"/>
        <v>5101CV-02</v>
      </c>
      <c r="C17" s="83"/>
      <c r="D17" s="83"/>
      <c r="E17" s="82" t="s">
        <v>148</v>
      </c>
      <c r="F17" s="82" t="s">
        <v>119</v>
      </c>
      <c r="G17" s="80" t="s">
        <v>124</v>
      </c>
      <c r="H17" s="82" t="s">
        <v>120</v>
      </c>
      <c r="I17" s="83"/>
      <c r="J17" s="84"/>
      <c r="K17" s="81" t="s">
        <v>131</v>
      </c>
      <c r="L17" s="89"/>
      <c r="M17" s="85"/>
      <c r="N17" s="80" t="s">
        <v>113</v>
      </c>
      <c r="O17" s="80" t="s">
        <v>112</v>
      </c>
      <c r="P17" s="82" t="s">
        <v>111</v>
      </c>
      <c r="Q17" s="81" t="s">
        <v>141</v>
      </c>
      <c r="R17" s="81" t="s">
        <v>169</v>
      </c>
      <c r="S17" s="81"/>
      <c r="T17" s="86"/>
      <c r="U17" s="90"/>
      <c r="V17" s="80"/>
      <c r="W17" s="80"/>
      <c r="X17" s="87"/>
      <c r="Y17" s="80"/>
      <c r="Z17" s="80"/>
      <c r="AA17" s="88"/>
      <c r="AB17" s="88"/>
      <c r="AC17" s="88"/>
      <c r="AD17" s="88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114"/>
      <c r="BX17" s="114">
        <v>1</v>
      </c>
      <c r="BY17" s="114"/>
      <c r="BZ17" s="114"/>
      <c r="CA17" s="114"/>
      <c r="CB17" s="89" t="s">
        <v>197</v>
      </c>
      <c r="CC17" s="60"/>
      <c r="GD17" s="12"/>
      <c r="GE17" s="12"/>
      <c r="GF17" s="12"/>
      <c r="GG17" s="12"/>
      <c r="GH17" s="12"/>
      <c r="GI17" s="12"/>
      <c r="GJ17" s="12"/>
      <c r="GK17" s="12"/>
      <c r="GL17" s="12"/>
    </row>
    <row r="18" spans="1:194" s="6" customFormat="1" x14ac:dyDescent="0.2">
      <c r="A18" s="80" t="s">
        <v>171</v>
      </c>
      <c r="B18" s="80" t="str">
        <f t="shared" si="0"/>
        <v>5101FS-02</v>
      </c>
      <c r="C18" s="83"/>
      <c r="D18" s="83"/>
      <c r="E18" s="82" t="s">
        <v>148</v>
      </c>
      <c r="F18" s="82" t="s">
        <v>119</v>
      </c>
      <c r="G18" s="80" t="s">
        <v>203</v>
      </c>
      <c r="H18" s="82" t="s">
        <v>120</v>
      </c>
      <c r="I18" s="83"/>
      <c r="J18" s="84"/>
      <c r="K18" s="81" t="s">
        <v>204</v>
      </c>
      <c r="L18" s="89"/>
      <c r="M18" s="85"/>
      <c r="N18" s="80" t="s">
        <v>113</v>
      </c>
      <c r="O18" s="80" t="s">
        <v>112</v>
      </c>
      <c r="P18" s="82" t="s">
        <v>111</v>
      </c>
      <c r="Q18" s="81" t="s">
        <v>205</v>
      </c>
      <c r="R18" s="81" t="s">
        <v>206</v>
      </c>
      <c r="S18" s="81"/>
      <c r="T18" s="86"/>
      <c r="U18" s="90"/>
      <c r="V18" s="80"/>
      <c r="W18" s="80"/>
      <c r="X18" s="87"/>
      <c r="Y18" s="80"/>
      <c r="Z18" s="80"/>
      <c r="AA18" s="88"/>
      <c r="AB18" s="88"/>
      <c r="AC18" s="88"/>
      <c r="AD18" s="88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114"/>
      <c r="BX18" s="114"/>
      <c r="BY18" s="114">
        <v>1</v>
      </c>
      <c r="BZ18" s="114"/>
      <c r="CA18" s="114"/>
      <c r="CB18" s="89"/>
      <c r="CC18" s="60"/>
      <c r="GD18" s="12"/>
      <c r="GE18" s="12"/>
      <c r="GF18" s="12"/>
      <c r="GG18" s="12"/>
      <c r="GH18" s="12"/>
      <c r="GI18" s="12"/>
      <c r="GJ18" s="12"/>
      <c r="GK18" s="12"/>
      <c r="GL18" s="12"/>
    </row>
    <row r="19" spans="1:194" s="6" customFormat="1" x14ac:dyDescent="0.2">
      <c r="A19" s="80" t="s">
        <v>171</v>
      </c>
      <c r="B19" s="80" t="str">
        <f t="shared" si="0"/>
        <v>5101FT-02</v>
      </c>
      <c r="C19" s="83"/>
      <c r="D19" s="83"/>
      <c r="E19" s="82" t="s">
        <v>148</v>
      </c>
      <c r="F19" s="82" t="s">
        <v>119</v>
      </c>
      <c r="G19" s="80" t="s">
        <v>143</v>
      </c>
      <c r="H19" s="82" t="s">
        <v>120</v>
      </c>
      <c r="I19" s="83"/>
      <c r="J19" s="84"/>
      <c r="K19" s="81" t="s">
        <v>117</v>
      </c>
      <c r="L19" s="89"/>
      <c r="M19" s="85"/>
      <c r="N19" s="80" t="s">
        <v>113</v>
      </c>
      <c r="O19" s="80" t="s">
        <v>112</v>
      </c>
      <c r="P19" s="82" t="s">
        <v>111</v>
      </c>
      <c r="Q19" s="81" t="s">
        <v>141</v>
      </c>
      <c r="R19" s="81" t="s">
        <v>142</v>
      </c>
      <c r="S19" s="81" t="s">
        <v>222</v>
      </c>
      <c r="T19" s="86"/>
      <c r="U19" s="90"/>
      <c r="V19" s="80"/>
      <c r="W19" s="80"/>
      <c r="X19" s="87"/>
      <c r="Y19" s="80"/>
      <c r="Z19" s="80"/>
      <c r="AA19" s="88"/>
      <c r="AB19" s="88"/>
      <c r="AC19" s="88"/>
      <c r="AD19" s="88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114">
        <v>1</v>
      </c>
      <c r="BX19" s="114"/>
      <c r="BY19" s="114"/>
      <c r="BZ19" s="114"/>
      <c r="CA19" s="114"/>
      <c r="CB19" s="89" t="s">
        <v>201</v>
      </c>
      <c r="CC19" s="60"/>
      <c r="GD19" s="12"/>
      <c r="GE19" s="12"/>
      <c r="GF19" s="12"/>
      <c r="GG19" s="12"/>
      <c r="GH19" s="12"/>
      <c r="GI19" s="12"/>
      <c r="GJ19" s="12"/>
      <c r="GK19" s="12"/>
      <c r="GL19" s="12"/>
    </row>
    <row r="20" spans="1:194" s="6" customFormat="1" x14ac:dyDescent="0.2">
      <c r="A20" s="80" t="s">
        <v>171</v>
      </c>
      <c r="B20" s="80" t="str">
        <f t="shared" si="0"/>
        <v>5101TT-04</v>
      </c>
      <c r="C20" s="83"/>
      <c r="D20" s="83"/>
      <c r="E20" s="82" t="s">
        <v>148</v>
      </c>
      <c r="F20" s="82" t="s">
        <v>119</v>
      </c>
      <c r="G20" s="80" t="s">
        <v>125</v>
      </c>
      <c r="H20" s="82" t="s">
        <v>122</v>
      </c>
      <c r="I20" s="83"/>
      <c r="J20" s="84"/>
      <c r="K20" s="81" t="s">
        <v>106</v>
      </c>
      <c r="L20" s="85" t="s">
        <v>115</v>
      </c>
      <c r="M20" s="89"/>
      <c r="N20" s="80" t="s">
        <v>113</v>
      </c>
      <c r="O20" s="80" t="s">
        <v>112</v>
      </c>
      <c r="P20" s="82" t="s">
        <v>111</v>
      </c>
      <c r="Q20" s="81" t="s">
        <v>141</v>
      </c>
      <c r="R20" s="81" t="s">
        <v>170</v>
      </c>
      <c r="S20" s="81"/>
      <c r="T20" s="86"/>
      <c r="U20" s="86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114">
        <v>1</v>
      </c>
      <c r="BX20" s="114"/>
      <c r="BY20" s="114"/>
      <c r="BZ20" s="114"/>
      <c r="CA20" s="114"/>
      <c r="CB20" s="89" t="s">
        <v>198</v>
      </c>
      <c r="CC20" s="60"/>
      <c r="GD20" s="12"/>
      <c r="GE20" s="12"/>
      <c r="GF20" s="12"/>
      <c r="GG20" s="12"/>
      <c r="GH20" s="12"/>
      <c r="GI20" s="12"/>
      <c r="GJ20" s="12"/>
      <c r="GK20" s="12"/>
      <c r="GL20" s="12"/>
    </row>
    <row r="21" spans="1:194" s="6" customFormat="1" x14ac:dyDescent="0.2">
      <c r="A21" s="80" t="s">
        <v>171</v>
      </c>
      <c r="B21" s="80" t="str">
        <f t="shared" si="0"/>
        <v>5101TT-05</v>
      </c>
      <c r="C21" s="83"/>
      <c r="D21" s="83"/>
      <c r="E21" s="82" t="s">
        <v>148</v>
      </c>
      <c r="F21" s="82" t="s">
        <v>119</v>
      </c>
      <c r="G21" s="80" t="s">
        <v>125</v>
      </c>
      <c r="H21" s="82" t="s">
        <v>123</v>
      </c>
      <c r="I21" s="83"/>
      <c r="J21" s="84"/>
      <c r="K21" s="81" t="s">
        <v>106</v>
      </c>
      <c r="L21" s="85" t="s">
        <v>116</v>
      </c>
      <c r="M21" s="89"/>
      <c r="N21" s="80" t="s">
        <v>113</v>
      </c>
      <c r="O21" s="80" t="s">
        <v>112</v>
      </c>
      <c r="P21" s="82" t="s">
        <v>111</v>
      </c>
      <c r="Q21" s="81" t="s">
        <v>141</v>
      </c>
      <c r="R21" s="81" t="s">
        <v>170</v>
      </c>
      <c r="S21" s="81"/>
      <c r="T21" s="86"/>
      <c r="U21" s="86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114">
        <v>1</v>
      </c>
      <c r="BX21" s="114"/>
      <c r="BY21" s="114"/>
      <c r="BZ21" s="114"/>
      <c r="CA21" s="114"/>
      <c r="CB21" s="89" t="s">
        <v>198</v>
      </c>
      <c r="CC21" s="60"/>
      <c r="GD21" s="12"/>
      <c r="GE21" s="12"/>
      <c r="GF21" s="12"/>
      <c r="GG21" s="12"/>
      <c r="GH21" s="12"/>
      <c r="GI21" s="12"/>
      <c r="GJ21" s="12"/>
      <c r="GK21" s="12"/>
      <c r="GL21" s="12"/>
    </row>
    <row r="22" spans="1:194" x14ac:dyDescent="0.2">
      <c r="A22" s="80" t="s">
        <v>171</v>
      </c>
      <c r="B22" s="80" t="str">
        <f t="shared" ref="B22:B60" si="1">CONCATENATE(E22,F22,G22,"-",H22)</f>
        <v>5101CO-10</v>
      </c>
      <c r="C22" s="94"/>
      <c r="D22" s="94"/>
      <c r="E22" s="104" t="s">
        <v>148</v>
      </c>
      <c r="F22" s="104" t="s">
        <v>119</v>
      </c>
      <c r="G22" s="104" t="s">
        <v>160</v>
      </c>
      <c r="H22" s="104" t="s">
        <v>127</v>
      </c>
      <c r="I22" s="95"/>
      <c r="J22" s="96"/>
      <c r="K22" s="98" t="s">
        <v>172</v>
      </c>
      <c r="L22" s="98"/>
      <c r="M22" s="105"/>
      <c r="N22" s="97" t="s">
        <v>172</v>
      </c>
      <c r="O22" s="80" t="s">
        <v>112</v>
      </c>
      <c r="P22" s="82" t="s">
        <v>111</v>
      </c>
      <c r="Q22" s="98" t="s">
        <v>207</v>
      </c>
      <c r="R22" s="98" t="s">
        <v>208</v>
      </c>
      <c r="S22" s="98"/>
      <c r="T22" s="99"/>
      <c r="U22" s="99"/>
      <c r="V22" s="97"/>
      <c r="W22" s="97"/>
      <c r="X22" s="100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100"/>
      <c r="BA22" s="100"/>
      <c r="BB22" s="100"/>
      <c r="BC22" s="97"/>
      <c r="BD22" s="97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7"/>
      <c r="BT22" s="97"/>
      <c r="BU22" s="97"/>
      <c r="BV22" s="97"/>
      <c r="BW22" s="116"/>
      <c r="BX22" s="116"/>
      <c r="BY22" s="116">
        <v>3</v>
      </c>
      <c r="BZ22" s="116">
        <v>2</v>
      </c>
      <c r="CA22" s="116"/>
      <c r="CB22" s="89" t="s">
        <v>199</v>
      </c>
    </row>
    <row r="23" spans="1:194" x14ac:dyDescent="0.2">
      <c r="A23" s="80" t="s">
        <v>171</v>
      </c>
      <c r="B23" s="80" t="str">
        <f>CONCATENATE(E23,F23,G23,"-",H23)</f>
        <v>5101EH-10</v>
      </c>
      <c r="C23" s="94"/>
      <c r="D23" s="94"/>
      <c r="E23" s="104" t="s">
        <v>148</v>
      </c>
      <c r="F23" s="104" t="s">
        <v>119</v>
      </c>
      <c r="G23" s="104" t="s">
        <v>157</v>
      </c>
      <c r="H23" s="104" t="s">
        <v>127</v>
      </c>
      <c r="I23" s="95"/>
      <c r="J23" s="96"/>
      <c r="K23" s="98" t="s">
        <v>217</v>
      </c>
      <c r="L23" s="98" t="s">
        <v>107</v>
      </c>
      <c r="M23" s="105"/>
      <c r="N23" s="97" t="s">
        <v>172</v>
      </c>
      <c r="O23" s="80" t="s">
        <v>112</v>
      </c>
      <c r="P23" s="82" t="s">
        <v>111</v>
      </c>
      <c r="Q23" s="98" t="s">
        <v>207</v>
      </c>
      <c r="R23" s="98"/>
      <c r="S23" s="98"/>
      <c r="T23" s="99"/>
      <c r="U23" s="99"/>
      <c r="V23" s="97"/>
      <c r="W23" s="97"/>
      <c r="X23" s="100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100"/>
      <c r="BA23" s="100"/>
      <c r="BB23" s="100"/>
      <c r="BC23" s="97"/>
      <c r="BD23" s="97"/>
      <c r="BE23" s="97"/>
      <c r="BF23" s="97"/>
      <c r="BG23" s="97"/>
      <c r="BH23" s="97"/>
      <c r="BI23" s="97"/>
      <c r="BJ23" s="97"/>
      <c r="BK23" s="97"/>
      <c r="BL23" s="97"/>
      <c r="BM23" s="97"/>
      <c r="BN23" s="97"/>
      <c r="BO23" s="97"/>
      <c r="BP23" s="97"/>
      <c r="BQ23" s="97"/>
      <c r="BR23" s="97"/>
      <c r="BS23" s="97"/>
      <c r="BT23" s="97"/>
      <c r="BU23" s="97"/>
      <c r="BV23" s="97"/>
      <c r="BW23" s="116"/>
      <c r="BX23" s="116"/>
      <c r="BY23" s="116"/>
      <c r="BZ23" s="116"/>
      <c r="CA23" s="116"/>
      <c r="CB23" s="89"/>
    </row>
    <row r="24" spans="1:194" x14ac:dyDescent="0.2">
      <c r="A24" s="80" t="s">
        <v>171</v>
      </c>
      <c r="B24" s="80" t="str">
        <f t="shared" si="1"/>
        <v>5101LZ-10</v>
      </c>
      <c r="C24" s="94"/>
      <c r="D24" s="94"/>
      <c r="E24" s="104" t="s">
        <v>148</v>
      </c>
      <c r="F24" s="104" t="s">
        <v>119</v>
      </c>
      <c r="G24" s="104" t="s">
        <v>180</v>
      </c>
      <c r="H24" s="104" t="s">
        <v>127</v>
      </c>
      <c r="I24" s="95"/>
      <c r="J24" s="96"/>
      <c r="K24" s="98" t="s">
        <v>181</v>
      </c>
      <c r="L24" s="98"/>
      <c r="M24" s="105"/>
      <c r="N24" s="97" t="s">
        <v>172</v>
      </c>
      <c r="O24" s="80" t="s">
        <v>112</v>
      </c>
      <c r="P24" s="82" t="s">
        <v>111</v>
      </c>
      <c r="Q24" s="98"/>
      <c r="R24" s="98"/>
      <c r="S24" s="98"/>
      <c r="T24" s="99"/>
      <c r="U24" s="99"/>
      <c r="V24" s="97"/>
      <c r="W24" s="97"/>
      <c r="X24" s="100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100"/>
      <c r="BA24" s="100"/>
      <c r="BB24" s="100"/>
      <c r="BC24" s="97"/>
      <c r="BD24" s="97"/>
      <c r="BE24" s="97"/>
      <c r="BF24" s="97"/>
      <c r="BG24" s="97"/>
      <c r="BH24" s="97"/>
      <c r="BI24" s="97"/>
      <c r="BJ24" s="97"/>
      <c r="BK24" s="97"/>
      <c r="BL24" s="97"/>
      <c r="BM24" s="97"/>
      <c r="BN24" s="97"/>
      <c r="BO24" s="97"/>
      <c r="BP24" s="97"/>
      <c r="BQ24" s="97"/>
      <c r="BR24" s="97"/>
      <c r="BS24" s="97"/>
      <c r="BT24" s="97"/>
      <c r="BU24" s="97"/>
      <c r="BV24" s="97"/>
      <c r="BW24" s="116"/>
      <c r="BX24" s="116"/>
      <c r="BY24" s="116">
        <v>1</v>
      </c>
      <c r="BZ24" s="116"/>
      <c r="CA24" s="116"/>
      <c r="CB24" s="37"/>
    </row>
    <row r="25" spans="1:194" x14ac:dyDescent="0.2">
      <c r="A25" s="80" t="s">
        <v>171</v>
      </c>
      <c r="B25" s="80" t="str">
        <f>CONCATENATE(E25,F25,G25,"-",H25)</f>
        <v>5101MSV-10</v>
      </c>
      <c r="C25" s="94"/>
      <c r="D25" s="94"/>
      <c r="E25" s="104" t="s">
        <v>148</v>
      </c>
      <c r="F25" s="104" t="s">
        <v>119</v>
      </c>
      <c r="G25" s="104" t="s">
        <v>179</v>
      </c>
      <c r="H25" s="104" t="s">
        <v>127</v>
      </c>
      <c r="I25" s="95"/>
      <c r="J25" s="96"/>
      <c r="K25" s="98" t="s">
        <v>174</v>
      </c>
      <c r="L25" s="98" t="s">
        <v>214</v>
      </c>
      <c r="M25" s="117">
        <v>0.75</v>
      </c>
      <c r="N25" s="97" t="s">
        <v>172</v>
      </c>
      <c r="O25" s="80" t="s">
        <v>112</v>
      </c>
      <c r="P25" s="82" t="s">
        <v>111</v>
      </c>
      <c r="Q25" s="98" t="s">
        <v>207</v>
      </c>
      <c r="R25" s="98"/>
      <c r="S25" s="98"/>
      <c r="T25" s="99"/>
      <c r="U25" s="99"/>
      <c r="V25" s="97"/>
      <c r="W25" s="97"/>
      <c r="X25" s="100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100"/>
      <c r="BA25" s="100"/>
      <c r="BB25" s="100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116"/>
      <c r="BX25" s="116"/>
      <c r="BY25" s="116"/>
      <c r="BZ25" s="116">
        <v>1</v>
      </c>
      <c r="CA25" s="116"/>
      <c r="CB25" s="89" t="s">
        <v>200</v>
      </c>
    </row>
    <row r="26" spans="1:194" x14ac:dyDescent="0.2">
      <c r="A26" s="80" t="s">
        <v>171</v>
      </c>
      <c r="B26" s="80" t="str">
        <f>CONCATENATE(E26,F26,G26,"-",H26)</f>
        <v>5101MSV-11</v>
      </c>
      <c r="C26" s="94"/>
      <c r="D26" s="94"/>
      <c r="E26" s="104" t="s">
        <v>148</v>
      </c>
      <c r="F26" s="104" t="s">
        <v>119</v>
      </c>
      <c r="G26" s="104" t="s">
        <v>179</v>
      </c>
      <c r="H26" s="104" t="s">
        <v>128</v>
      </c>
      <c r="I26" s="95"/>
      <c r="J26" s="96"/>
      <c r="K26" s="98" t="s">
        <v>174</v>
      </c>
      <c r="L26" s="98" t="s">
        <v>215</v>
      </c>
      <c r="M26" s="117">
        <v>0.5</v>
      </c>
      <c r="N26" s="97" t="s">
        <v>172</v>
      </c>
      <c r="O26" s="80" t="s">
        <v>112</v>
      </c>
      <c r="P26" s="82" t="s">
        <v>111</v>
      </c>
      <c r="Q26" s="98" t="s">
        <v>207</v>
      </c>
      <c r="R26" s="98"/>
      <c r="S26" s="98"/>
      <c r="T26" s="99"/>
      <c r="U26" s="99"/>
      <c r="V26" s="97"/>
      <c r="W26" s="97"/>
      <c r="X26" s="100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100"/>
      <c r="BA26" s="100"/>
      <c r="BB26" s="100"/>
      <c r="BC26" s="97"/>
      <c r="BD26" s="97"/>
      <c r="BE26" s="97"/>
      <c r="BF26" s="97"/>
      <c r="BG26" s="97"/>
      <c r="BH26" s="97"/>
      <c r="BI26" s="97"/>
      <c r="BJ26" s="97"/>
      <c r="BK26" s="97"/>
      <c r="BL26" s="97"/>
      <c r="BM26" s="97"/>
      <c r="BN26" s="97"/>
      <c r="BO26" s="97"/>
      <c r="BP26" s="97"/>
      <c r="BQ26" s="97"/>
      <c r="BR26" s="97"/>
      <c r="BS26" s="97"/>
      <c r="BT26" s="97"/>
      <c r="BU26" s="97"/>
      <c r="BV26" s="97"/>
      <c r="BW26" s="116"/>
      <c r="BX26" s="116"/>
      <c r="BY26" s="116"/>
      <c r="BZ26" s="116">
        <v>1</v>
      </c>
      <c r="CA26" s="116"/>
      <c r="CB26" s="89" t="s">
        <v>200</v>
      </c>
    </row>
    <row r="27" spans="1:194" x14ac:dyDescent="0.2">
      <c r="A27" s="80" t="s">
        <v>171</v>
      </c>
      <c r="B27" s="80" t="str">
        <f t="shared" si="1"/>
        <v>5101MSV-12</v>
      </c>
      <c r="C27" s="94"/>
      <c r="D27" s="94"/>
      <c r="E27" s="104" t="s">
        <v>148</v>
      </c>
      <c r="F27" s="104" t="s">
        <v>119</v>
      </c>
      <c r="G27" s="104" t="s">
        <v>179</v>
      </c>
      <c r="H27" s="104" t="s">
        <v>159</v>
      </c>
      <c r="I27" s="95"/>
      <c r="J27" s="96"/>
      <c r="K27" s="98" t="s">
        <v>174</v>
      </c>
      <c r="L27" s="98" t="s">
        <v>175</v>
      </c>
      <c r="M27" s="105" t="s">
        <v>177</v>
      </c>
      <c r="N27" s="97" t="s">
        <v>172</v>
      </c>
      <c r="O27" s="80" t="s">
        <v>112</v>
      </c>
      <c r="P27" s="82" t="s">
        <v>111</v>
      </c>
      <c r="Q27" s="98" t="s">
        <v>207</v>
      </c>
      <c r="R27" s="98"/>
      <c r="S27" s="98"/>
      <c r="T27" s="99"/>
      <c r="U27" s="99"/>
      <c r="V27" s="97"/>
      <c r="W27" s="97"/>
      <c r="X27" s="100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100"/>
      <c r="BA27" s="100"/>
      <c r="BB27" s="100"/>
      <c r="BC27" s="97"/>
      <c r="BD27" s="97"/>
      <c r="BE27" s="97"/>
      <c r="BF27" s="97"/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97"/>
      <c r="BR27" s="97"/>
      <c r="BS27" s="97"/>
      <c r="BT27" s="97"/>
      <c r="BU27" s="97"/>
      <c r="BV27" s="97"/>
      <c r="BW27" s="116"/>
      <c r="BX27" s="116"/>
      <c r="BY27" s="116"/>
      <c r="BZ27" s="116">
        <v>1</v>
      </c>
      <c r="CA27" s="116"/>
      <c r="CB27" s="89" t="s">
        <v>200</v>
      </c>
    </row>
    <row r="28" spans="1:194" x14ac:dyDescent="0.2">
      <c r="A28" s="80" t="s">
        <v>171</v>
      </c>
      <c r="B28" s="80" t="str">
        <f t="shared" si="1"/>
        <v>5101MSV-13</v>
      </c>
      <c r="C28" s="94"/>
      <c r="D28" s="94"/>
      <c r="E28" s="104" t="s">
        <v>148</v>
      </c>
      <c r="F28" s="104" t="s">
        <v>119</v>
      </c>
      <c r="G28" s="104" t="s">
        <v>179</v>
      </c>
      <c r="H28" s="104" t="s">
        <v>156</v>
      </c>
      <c r="I28" s="95"/>
      <c r="J28" s="96"/>
      <c r="K28" s="98" t="s">
        <v>174</v>
      </c>
      <c r="L28" s="98" t="s">
        <v>176</v>
      </c>
      <c r="M28" s="105" t="s">
        <v>178</v>
      </c>
      <c r="N28" s="97" t="s">
        <v>172</v>
      </c>
      <c r="O28" s="80" t="s">
        <v>112</v>
      </c>
      <c r="P28" s="82" t="s">
        <v>111</v>
      </c>
      <c r="Q28" s="98" t="s">
        <v>207</v>
      </c>
      <c r="R28" s="98"/>
      <c r="S28" s="98"/>
      <c r="T28" s="99"/>
      <c r="U28" s="99"/>
      <c r="V28" s="97"/>
      <c r="W28" s="97"/>
      <c r="X28" s="100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100"/>
      <c r="BA28" s="100"/>
      <c r="BB28" s="100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7"/>
      <c r="BT28" s="97"/>
      <c r="BU28" s="97"/>
      <c r="BV28" s="97"/>
      <c r="BW28" s="116"/>
      <c r="BX28" s="116"/>
      <c r="BY28" s="116"/>
      <c r="BZ28" s="116">
        <v>1</v>
      </c>
      <c r="CA28" s="116"/>
      <c r="CB28" s="89" t="s">
        <v>200</v>
      </c>
    </row>
    <row r="29" spans="1:194" x14ac:dyDescent="0.2">
      <c r="A29" s="80" t="s">
        <v>171</v>
      </c>
      <c r="B29" s="80" t="str">
        <f t="shared" si="1"/>
        <v>5101MSV-12</v>
      </c>
      <c r="C29" s="94"/>
      <c r="D29" s="94"/>
      <c r="E29" s="104" t="s">
        <v>148</v>
      </c>
      <c r="F29" s="104" t="s">
        <v>119</v>
      </c>
      <c r="G29" s="104" t="s">
        <v>179</v>
      </c>
      <c r="H29" s="104" t="s">
        <v>159</v>
      </c>
      <c r="I29" s="95"/>
      <c r="J29" s="96"/>
      <c r="K29" s="98" t="s">
        <v>188</v>
      </c>
      <c r="L29" s="98"/>
      <c r="M29" s="105" t="s">
        <v>185</v>
      </c>
      <c r="N29" s="97" t="s">
        <v>172</v>
      </c>
      <c r="O29" s="80" t="s">
        <v>112</v>
      </c>
      <c r="P29" s="82" t="s">
        <v>111</v>
      </c>
      <c r="Q29" s="98"/>
      <c r="R29" s="98"/>
      <c r="S29" s="98"/>
      <c r="T29" s="99"/>
      <c r="U29" s="99"/>
      <c r="V29" s="97"/>
      <c r="W29" s="97"/>
      <c r="X29" s="100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100"/>
      <c r="BA29" s="100"/>
      <c r="BB29" s="100"/>
      <c r="BC29" s="97"/>
      <c r="BD29" s="97"/>
      <c r="BE29" s="97"/>
      <c r="BF29" s="97"/>
      <c r="BG29" s="97"/>
      <c r="BH29" s="97"/>
      <c r="BI29" s="97"/>
      <c r="BJ29" s="97"/>
      <c r="BK29" s="97"/>
      <c r="BL29" s="97"/>
      <c r="BM29" s="97"/>
      <c r="BN29" s="97"/>
      <c r="BO29" s="97"/>
      <c r="BP29" s="97"/>
      <c r="BQ29" s="97"/>
      <c r="BR29" s="97"/>
      <c r="BS29" s="97"/>
      <c r="BT29" s="97"/>
      <c r="BU29" s="97"/>
      <c r="BV29" s="97"/>
      <c r="BW29" s="116"/>
      <c r="BX29" s="116"/>
      <c r="BY29" s="116"/>
      <c r="BZ29" s="116">
        <v>1</v>
      </c>
      <c r="CA29" s="116"/>
      <c r="CB29" s="37"/>
    </row>
    <row r="30" spans="1:194" x14ac:dyDescent="0.2">
      <c r="A30" s="80" t="s">
        <v>171</v>
      </c>
      <c r="B30" s="80" t="str">
        <f t="shared" si="1"/>
        <v>5101PZ-10</v>
      </c>
      <c r="C30" s="94"/>
      <c r="D30" s="94"/>
      <c r="E30" s="104" t="s">
        <v>148</v>
      </c>
      <c r="F30" s="104" t="s">
        <v>119</v>
      </c>
      <c r="G30" s="104" t="s">
        <v>223</v>
      </c>
      <c r="H30" s="104" t="s">
        <v>127</v>
      </c>
      <c r="I30" s="95"/>
      <c r="J30" s="96"/>
      <c r="K30" s="98" t="s">
        <v>218</v>
      </c>
      <c r="L30" s="98"/>
      <c r="M30" s="105"/>
      <c r="N30" s="97" t="s">
        <v>172</v>
      </c>
      <c r="O30" s="80" t="s">
        <v>112</v>
      </c>
      <c r="P30" s="82" t="s">
        <v>111</v>
      </c>
      <c r="Q30" s="98" t="s">
        <v>219</v>
      </c>
      <c r="R30" s="98"/>
      <c r="S30" s="98"/>
      <c r="T30" s="99"/>
      <c r="U30" s="99"/>
      <c r="V30" s="97"/>
      <c r="W30" s="97"/>
      <c r="X30" s="100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100"/>
      <c r="BA30" s="100"/>
      <c r="BB30" s="100"/>
      <c r="BC30" s="97"/>
      <c r="BD30" s="97"/>
      <c r="BE30" s="97"/>
      <c r="BF30" s="97"/>
      <c r="BG30" s="97"/>
      <c r="BH30" s="97"/>
      <c r="BI30" s="97"/>
      <c r="BJ30" s="97"/>
      <c r="BK30" s="97"/>
      <c r="BL30" s="97"/>
      <c r="BM30" s="97"/>
      <c r="BN30" s="97"/>
      <c r="BO30" s="97"/>
      <c r="BP30" s="97"/>
      <c r="BQ30" s="97"/>
      <c r="BR30" s="97"/>
      <c r="BS30" s="97"/>
      <c r="BT30" s="97"/>
      <c r="BU30" s="97"/>
      <c r="BV30" s="97"/>
      <c r="BW30" s="116"/>
      <c r="BX30" s="116"/>
      <c r="BY30" s="116">
        <v>2</v>
      </c>
      <c r="BZ30" s="116"/>
      <c r="CA30" s="116"/>
      <c r="CB30" s="89"/>
    </row>
    <row r="31" spans="1:194" x14ac:dyDescent="0.2">
      <c r="A31" s="80" t="s">
        <v>171</v>
      </c>
      <c r="B31" s="80" t="str">
        <f t="shared" si="1"/>
        <v>5101PT-10</v>
      </c>
      <c r="C31" s="94"/>
      <c r="D31" s="94"/>
      <c r="E31" s="104" t="s">
        <v>148</v>
      </c>
      <c r="F31" s="104" t="s">
        <v>119</v>
      </c>
      <c r="G31" s="104" t="s">
        <v>129</v>
      </c>
      <c r="H31" s="104" t="s">
        <v>127</v>
      </c>
      <c r="I31" s="95"/>
      <c r="J31" s="96"/>
      <c r="K31" s="98" t="s">
        <v>182</v>
      </c>
      <c r="L31" s="98"/>
      <c r="M31" s="105" t="s">
        <v>183</v>
      </c>
      <c r="N31" s="97" t="s">
        <v>172</v>
      </c>
      <c r="O31" s="80" t="s">
        <v>112</v>
      </c>
      <c r="P31" s="82" t="s">
        <v>111</v>
      </c>
      <c r="Q31" s="98" t="s">
        <v>211</v>
      </c>
      <c r="R31" s="98" t="s">
        <v>212</v>
      </c>
      <c r="S31" s="98"/>
      <c r="T31" s="99"/>
      <c r="U31" s="99"/>
      <c r="V31" s="97"/>
      <c r="W31" s="97"/>
      <c r="X31" s="100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100"/>
      <c r="BA31" s="100"/>
      <c r="BB31" s="100"/>
      <c r="BC31" s="97"/>
      <c r="BD31" s="97"/>
      <c r="BE31" s="97"/>
      <c r="BF31" s="97"/>
      <c r="BG31" s="97"/>
      <c r="BH31" s="97"/>
      <c r="BI31" s="97"/>
      <c r="BJ31" s="97"/>
      <c r="BK31" s="97"/>
      <c r="BL31" s="97"/>
      <c r="BM31" s="97"/>
      <c r="BN31" s="97"/>
      <c r="BO31" s="97"/>
      <c r="BP31" s="97"/>
      <c r="BQ31" s="97"/>
      <c r="BR31" s="97"/>
      <c r="BS31" s="97"/>
      <c r="BT31" s="97"/>
      <c r="BU31" s="97"/>
      <c r="BV31" s="97"/>
      <c r="BW31" s="116">
        <v>1</v>
      </c>
      <c r="BX31" s="116"/>
      <c r="BY31" s="116"/>
      <c r="BZ31" s="116"/>
      <c r="CA31" s="116"/>
      <c r="CB31" s="89" t="s">
        <v>201</v>
      </c>
    </row>
    <row r="32" spans="1:194" x14ac:dyDescent="0.2">
      <c r="A32" s="80" t="s">
        <v>171</v>
      </c>
      <c r="B32" s="80" t="str">
        <f t="shared" si="1"/>
        <v>5101PT-11</v>
      </c>
      <c r="C32" s="94"/>
      <c r="D32" s="94"/>
      <c r="E32" s="104" t="s">
        <v>148</v>
      </c>
      <c r="F32" s="104" t="s">
        <v>119</v>
      </c>
      <c r="G32" s="104" t="s">
        <v>129</v>
      </c>
      <c r="H32" s="104" t="s">
        <v>128</v>
      </c>
      <c r="I32" s="95"/>
      <c r="J32" s="96"/>
      <c r="K32" s="98" t="s">
        <v>182</v>
      </c>
      <c r="L32" s="98"/>
      <c r="M32" s="105" t="s">
        <v>184</v>
      </c>
      <c r="N32" s="97" t="s">
        <v>172</v>
      </c>
      <c r="O32" s="80" t="s">
        <v>112</v>
      </c>
      <c r="P32" s="82" t="s">
        <v>111</v>
      </c>
      <c r="Q32" s="98" t="s">
        <v>211</v>
      </c>
      <c r="R32" s="98" t="s">
        <v>212</v>
      </c>
      <c r="S32" s="98"/>
      <c r="T32" s="99"/>
      <c r="U32" s="99"/>
      <c r="V32" s="97"/>
      <c r="W32" s="97"/>
      <c r="X32" s="100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100"/>
      <c r="BA32" s="100"/>
      <c r="BB32" s="100"/>
      <c r="BC32" s="97"/>
      <c r="BD32" s="97"/>
      <c r="BE32" s="97"/>
      <c r="BF32" s="97"/>
      <c r="BG32" s="97"/>
      <c r="BH32" s="97"/>
      <c r="BI32" s="97"/>
      <c r="BJ32" s="97"/>
      <c r="BK32" s="97"/>
      <c r="BL32" s="97"/>
      <c r="BM32" s="97"/>
      <c r="BN32" s="97"/>
      <c r="BO32" s="97"/>
      <c r="BP32" s="97"/>
      <c r="BQ32" s="97"/>
      <c r="BR32" s="97"/>
      <c r="BS32" s="97"/>
      <c r="BT32" s="97"/>
      <c r="BU32" s="97"/>
      <c r="BV32" s="97"/>
      <c r="BW32" s="116">
        <v>1</v>
      </c>
      <c r="BX32" s="116"/>
      <c r="BY32" s="116"/>
      <c r="BZ32" s="116"/>
      <c r="CA32" s="116"/>
      <c r="CB32" s="89" t="s">
        <v>201</v>
      </c>
    </row>
    <row r="33" spans="1:80" x14ac:dyDescent="0.2">
      <c r="A33" s="80" t="s">
        <v>171</v>
      </c>
      <c r="B33" s="80" t="str">
        <f t="shared" si="1"/>
        <v>5101PT-12</v>
      </c>
      <c r="C33" s="94"/>
      <c r="D33" s="94"/>
      <c r="E33" s="104" t="s">
        <v>148</v>
      </c>
      <c r="F33" s="104" t="s">
        <v>119</v>
      </c>
      <c r="G33" s="104" t="s">
        <v>129</v>
      </c>
      <c r="H33" s="104" t="s">
        <v>159</v>
      </c>
      <c r="I33" s="95"/>
      <c r="J33" s="96"/>
      <c r="K33" s="98" t="s">
        <v>182</v>
      </c>
      <c r="L33" s="98"/>
      <c r="M33" s="105" t="s">
        <v>185</v>
      </c>
      <c r="N33" s="97" t="s">
        <v>172</v>
      </c>
      <c r="O33" s="80" t="s">
        <v>112</v>
      </c>
      <c r="P33" s="82" t="s">
        <v>111</v>
      </c>
      <c r="Q33" s="98" t="s">
        <v>211</v>
      </c>
      <c r="R33" s="98" t="s">
        <v>212</v>
      </c>
      <c r="S33" s="98"/>
      <c r="T33" s="99"/>
      <c r="U33" s="99"/>
      <c r="V33" s="97"/>
      <c r="W33" s="97"/>
      <c r="X33" s="100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100"/>
      <c r="BA33" s="100"/>
      <c r="BB33" s="100"/>
      <c r="BC33" s="97"/>
      <c r="BD33" s="97"/>
      <c r="BE33" s="97"/>
      <c r="BF33" s="97"/>
      <c r="BG33" s="97"/>
      <c r="BH33" s="97"/>
      <c r="BI33" s="97"/>
      <c r="BJ33" s="97"/>
      <c r="BK33" s="97"/>
      <c r="BL33" s="97"/>
      <c r="BM33" s="97"/>
      <c r="BN33" s="97"/>
      <c r="BO33" s="97"/>
      <c r="BP33" s="97"/>
      <c r="BQ33" s="97"/>
      <c r="BR33" s="97"/>
      <c r="BS33" s="97"/>
      <c r="BT33" s="97"/>
      <c r="BU33" s="97"/>
      <c r="BV33" s="97"/>
      <c r="BW33" s="116">
        <v>1</v>
      </c>
      <c r="BX33" s="116"/>
      <c r="BY33" s="116"/>
      <c r="BZ33" s="116"/>
      <c r="CA33" s="116"/>
      <c r="CB33" s="89" t="s">
        <v>201</v>
      </c>
    </row>
    <row r="34" spans="1:80" x14ac:dyDescent="0.2">
      <c r="A34" s="80" t="s">
        <v>171</v>
      </c>
      <c r="B34" s="80" t="str">
        <f t="shared" si="1"/>
        <v>5101TT-10</v>
      </c>
      <c r="C34" s="94"/>
      <c r="D34" s="94"/>
      <c r="E34" s="104" t="s">
        <v>148</v>
      </c>
      <c r="F34" s="104" t="s">
        <v>119</v>
      </c>
      <c r="G34" s="104" t="s">
        <v>125</v>
      </c>
      <c r="H34" s="104" t="s">
        <v>127</v>
      </c>
      <c r="I34" s="95"/>
      <c r="J34" s="96"/>
      <c r="K34" s="98" t="s">
        <v>106</v>
      </c>
      <c r="L34" s="98"/>
      <c r="M34" s="105" t="s">
        <v>184</v>
      </c>
      <c r="N34" s="97" t="s">
        <v>172</v>
      </c>
      <c r="O34" s="80" t="s">
        <v>112</v>
      </c>
      <c r="P34" s="82" t="s">
        <v>111</v>
      </c>
      <c r="Q34" s="98" t="s">
        <v>211</v>
      </c>
      <c r="R34" s="98" t="s">
        <v>213</v>
      </c>
      <c r="S34" s="98"/>
      <c r="T34" s="99"/>
      <c r="U34" s="99"/>
      <c r="V34" s="97"/>
      <c r="W34" s="97"/>
      <c r="X34" s="100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100"/>
      <c r="BA34" s="100"/>
      <c r="BB34" s="100"/>
      <c r="BC34" s="97"/>
      <c r="BD34" s="97"/>
      <c r="BE34" s="97"/>
      <c r="BF34" s="97"/>
      <c r="BG34" s="97"/>
      <c r="BH34" s="97"/>
      <c r="BI34" s="97"/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/>
      <c r="BU34" s="97"/>
      <c r="BV34" s="97"/>
      <c r="BW34" s="116">
        <v>1</v>
      </c>
      <c r="BX34" s="116"/>
      <c r="BY34" s="116"/>
      <c r="BZ34" s="116"/>
      <c r="CA34" s="116"/>
      <c r="CB34" s="89" t="s">
        <v>198</v>
      </c>
    </row>
    <row r="35" spans="1:80" x14ac:dyDescent="0.2">
      <c r="A35" s="80" t="s">
        <v>171</v>
      </c>
      <c r="B35" s="80" t="str">
        <f>CONCATENATE(E35,F35,G35,"-",H35)</f>
        <v>5101CO-20</v>
      </c>
      <c r="C35" s="94"/>
      <c r="D35" s="94"/>
      <c r="E35" s="104" t="s">
        <v>148</v>
      </c>
      <c r="F35" s="104" t="s">
        <v>119</v>
      </c>
      <c r="G35" s="104" t="s">
        <v>160</v>
      </c>
      <c r="H35" s="104" t="s">
        <v>153</v>
      </c>
      <c r="I35" s="95"/>
      <c r="J35" s="96"/>
      <c r="K35" s="98" t="s">
        <v>173</v>
      </c>
      <c r="L35" s="98"/>
      <c r="M35" s="105"/>
      <c r="N35" s="97" t="s">
        <v>173</v>
      </c>
      <c r="O35" s="80" t="s">
        <v>112</v>
      </c>
      <c r="P35" s="82" t="s">
        <v>111</v>
      </c>
      <c r="Q35" s="98" t="s">
        <v>207</v>
      </c>
      <c r="R35" s="98" t="s">
        <v>209</v>
      </c>
      <c r="S35" s="98"/>
      <c r="T35" s="99"/>
      <c r="U35" s="99"/>
      <c r="V35" s="97"/>
      <c r="W35" s="97"/>
      <c r="X35" s="100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100"/>
      <c r="BA35" s="100"/>
      <c r="BB35" s="100"/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/>
      <c r="BU35" s="97"/>
      <c r="BV35" s="97"/>
      <c r="BW35" s="116"/>
      <c r="BX35" s="116"/>
      <c r="BY35" s="116">
        <v>3</v>
      </c>
      <c r="BZ35" s="116">
        <v>2</v>
      </c>
      <c r="CA35" s="116"/>
      <c r="CB35" s="89" t="s">
        <v>199</v>
      </c>
    </row>
    <row r="36" spans="1:80" x14ac:dyDescent="0.2">
      <c r="A36" s="80" t="s">
        <v>171</v>
      </c>
      <c r="B36" s="80" t="str">
        <f>CONCATENATE(E36,F36,G36,"-",H36)</f>
        <v>5101EH-20</v>
      </c>
      <c r="C36" s="94"/>
      <c r="D36" s="94"/>
      <c r="E36" s="104" t="s">
        <v>148</v>
      </c>
      <c r="F36" s="104" t="s">
        <v>119</v>
      </c>
      <c r="G36" s="104" t="s">
        <v>157</v>
      </c>
      <c r="H36" s="104" t="s">
        <v>153</v>
      </c>
      <c r="I36" s="95"/>
      <c r="J36" s="96"/>
      <c r="K36" s="98" t="s">
        <v>217</v>
      </c>
      <c r="L36" s="98" t="s">
        <v>107</v>
      </c>
      <c r="M36" s="105"/>
      <c r="N36" s="97" t="s">
        <v>173</v>
      </c>
      <c r="O36" s="80" t="s">
        <v>112</v>
      </c>
      <c r="P36" s="82" t="s">
        <v>111</v>
      </c>
      <c r="Q36" s="98" t="s">
        <v>207</v>
      </c>
      <c r="R36" s="98"/>
      <c r="S36" s="98"/>
      <c r="T36" s="99"/>
      <c r="U36" s="99"/>
      <c r="V36" s="97"/>
      <c r="W36" s="97"/>
      <c r="X36" s="100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100"/>
      <c r="BA36" s="100"/>
      <c r="BB36" s="100"/>
      <c r="BC36" s="97"/>
      <c r="BD36" s="97"/>
      <c r="BE36" s="97"/>
      <c r="BF36" s="97"/>
      <c r="BG36" s="97"/>
      <c r="BH36" s="97"/>
      <c r="BI36" s="97"/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116"/>
      <c r="BX36" s="116"/>
      <c r="BY36" s="116"/>
      <c r="BZ36" s="116"/>
      <c r="CA36" s="116"/>
      <c r="CB36" s="89"/>
    </row>
    <row r="37" spans="1:80" x14ac:dyDescent="0.2">
      <c r="A37" s="80" t="s">
        <v>171</v>
      </c>
      <c r="B37" s="80" t="str">
        <f t="shared" si="1"/>
        <v>5101LZ-20</v>
      </c>
      <c r="C37" s="94"/>
      <c r="D37" s="94"/>
      <c r="E37" s="104" t="s">
        <v>148</v>
      </c>
      <c r="F37" s="104" t="s">
        <v>119</v>
      </c>
      <c r="G37" s="104" t="s">
        <v>180</v>
      </c>
      <c r="H37" s="104" t="s">
        <v>153</v>
      </c>
      <c r="I37" s="95"/>
      <c r="J37" s="96"/>
      <c r="K37" s="98" t="s">
        <v>181</v>
      </c>
      <c r="L37" s="98"/>
      <c r="M37" s="105"/>
      <c r="N37" s="97" t="s">
        <v>173</v>
      </c>
      <c r="O37" s="80" t="s">
        <v>112</v>
      </c>
      <c r="P37" s="82" t="s">
        <v>111</v>
      </c>
      <c r="Q37" s="98"/>
      <c r="R37" s="98"/>
      <c r="S37" s="98"/>
      <c r="T37" s="99"/>
      <c r="U37" s="99"/>
      <c r="V37" s="97"/>
      <c r="W37" s="97"/>
      <c r="X37" s="100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100"/>
      <c r="BA37" s="100"/>
      <c r="BB37" s="100"/>
      <c r="BC37" s="97"/>
      <c r="BD37" s="97"/>
      <c r="BE37" s="97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7"/>
      <c r="BQ37" s="97"/>
      <c r="BR37" s="97"/>
      <c r="BS37" s="97"/>
      <c r="BT37" s="97"/>
      <c r="BU37" s="97"/>
      <c r="BV37" s="97"/>
      <c r="BW37" s="116"/>
      <c r="BX37" s="116"/>
      <c r="BY37" s="116">
        <v>1</v>
      </c>
      <c r="BZ37" s="116"/>
      <c r="CA37" s="116"/>
      <c r="CB37" s="37"/>
    </row>
    <row r="38" spans="1:80" x14ac:dyDescent="0.2">
      <c r="A38" s="80" t="s">
        <v>171</v>
      </c>
      <c r="B38" s="80" t="str">
        <f t="shared" si="1"/>
        <v>5101MSV-20</v>
      </c>
      <c r="C38" s="94"/>
      <c r="D38" s="94"/>
      <c r="E38" s="104" t="s">
        <v>148</v>
      </c>
      <c r="F38" s="104" t="s">
        <v>119</v>
      </c>
      <c r="G38" s="104" t="s">
        <v>179</v>
      </c>
      <c r="H38" s="104" t="s">
        <v>153</v>
      </c>
      <c r="I38" s="95"/>
      <c r="J38" s="96"/>
      <c r="K38" s="98" t="s">
        <v>174</v>
      </c>
      <c r="L38" s="98" t="s">
        <v>214</v>
      </c>
      <c r="M38" s="117">
        <v>0.75</v>
      </c>
      <c r="N38" s="97" t="s">
        <v>173</v>
      </c>
      <c r="O38" s="80" t="s">
        <v>112</v>
      </c>
      <c r="P38" s="82" t="s">
        <v>111</v>
      </c>
      <c r="Q38" s="98" t="s">
        <v>207</v>
      </c>
      <c r="R38" s="98"/>
      <c r="S38" s="98"/>
      <c r="T38" s="99"/>
      <c r="U38" s="99"/>
      <c r="V38" s="97"/>
      <c r="W38" s="97"/>
      <c r="X38" s="100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100"/>
      <c r="BA38" s="100"/>
      <c r="BB38" s="100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116"/>
      <c r="BX38" s="116"/>
      <c r="BY38" s="116"/>
      <c r="BZ38" s="116"/>
      <c r="CA38" s="116"/>
      <c r="CB38" s="37"/>
    </row>
    <row r="39" spans="1:80" x14ac:dyDescent="0.2">
      <c r="A39" s="80" t="s">
        <v>171</v>
      </c>
      <c r="B39" s="80" t="str">
        <f t="shared" si="1"/>
        <v>5101MSV-21</v>
      </c>
      <c r="C39" s="94"/>
      <c r="D39" s="94"/>
      <c r="E39" s="104" t="s">
        <v>148</v>
      </c>
      <c r="F39" s="104" t="s">
        <v>119</v>
      </c>
      <c r="G39" s="104" t="s">
        <v>179</v>
      </c>
      <c r="H39" s="104" t="s">
        <v>154</v>
      </c>
      <c r="I39" s="95"/>
      <c r="J39" s="96"/>
      <c r="K39" s="98" t="s">
        <v>174</v>
      </c>
      <c r="L39" s="98" t="s">
        <v>215</v>
      </c>
      <c r="M39" s="117">
        <v>0.5</v>
      </c>
      <c r="N39" s="97" t="s">
        <v>173</v>
      </c>
      <c r="O39" s="80" t="s">
        <v>112</v>
      </c>
      <c r="P39" s="82" t="s">
        <v>111</v>
      </c>
      <c r="Q39" s="98" t="s">
        <v>207</v>
      </c>
      <c r="R39" s="98"/>
      <c r="S39" s="98"/>
      <c r="T39" s="99"/>
      <c r="U39" s="99"/>
      <c r="V39" s="97"/>
      <c r="W39" s="97"/>
      <c r="X39" s="100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100"/>
      <c r="BA39" s="100"/>
      <c r="BB39" s="100"/>
      <c r="BC39" s="97"/>
      <c r="BD39" s="97"/>
      <c r="BE39" s="97"/>
      <c r="BF39" s="97"/>
      <c r="BG39" s="97"/>
      <c r="BH39" s="97"/>
      <c r="BI39" s="97"/>
      <c r="BJ39" s="97"/>
      <c r="BK39" s="97"/>
      <c r="BL39" s="97"/>
      <c r="BM39" s="97"/>
      <c r="BN39" s="97"/>
      <c r="BO39" s="97"/>
      <c r="BP39" s="97"/>
      <c r="BQ39" s="97"/>
      <c r="BR39" s="97"/>
      <c r="BS39" s="97"/>
      <c r="BT39" s="97"/>
      <c r="BU39" s="97"/>
      <c r="BV39" s="97"/>
      <c r="BW39" s="116"/>
      <c r="BX39" s="116"/>
      <c r="BY39" s="116"/>
      <c r="BZ39" s="116"/>
      <c r="CA39" s="116"/>
      <c r="CB39" s="37"/>
    </row>
    <row r="40" spans="1:80" x14ac:dyDescent="0.2">
      <c r="A40" s="80" t="s">
        <v>171</v>
      </c>
      <c r="B40" s="80" t="str">
        <f t="shared" si="1"/>
        <v>5101MSV-22</v>
      </c>
      <c r="C40" s="94"/>
      <c r="D40" s="94"/>
      <c r="E40" s="104" t="s">
        <v>148</v>
      </c>
      <c r="F40" s="104" t="s">
        <v>119</v>
      </c>
      <c r="G40" s="104" t="s">
        <v>179</v>
      </c>
      <c r="H40" s="104" t="s">
        <v>155</v>
      </c>
      <c r="I40" s="95"/>
      <c r="J40" s="96"/>
      <c r="K40" s="98" t="s">
        <v>174</v>
      </c>
      <c r="L40" s="98" t="s">
        <v>175</v>
      </c>
      <c r="M40" s="105" t="s">
        <v>177</v>
      </c>
      <c r="N40" s="97" t="s">
        <v>173</v>
      </c>
      <c r="O40" s="80" t="s">
        <v>112</v>
      </c>
      <c r="P40" s="82" t="s">
        <v>111</v>
      </c>
      <c r="Q40" s="98" t="s">
        <v>207</v>
      </c>
      <c r="R40" s="98"/>
      <c r="S40" s="98"/>
      <c r="T40" s="99"/>
      <c r="U40" s="99"/>
      <c r="V40" s="97"/>
      <c r="W40" s="97"/>
      <c r="X40" s="100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100"/>
      <c r="BA40" s="100"/>
      <c r="BB40" s="100"/>
      <c r="BC40" s="97"/>
      <c r="BD40" s="97"/>
      <c r="BE40" s="97"/>
      <c r="BF40" s="97"/>
      <c r="BG40" s="97"/>
      <c r="BH40" s="97"/>
      <c r="BI40" s="97"/>
      <c r="BJ40" s="97"/>
      <c r="BK40" s="97"/>
      <c r="BL40" s="97"/>
      <c r="BM40" s="97"/>
      <c r="BN40" s="97"/>
      <c r="BO40" s="97"/>
      <c r="BP40" s="97"/>
      <c r="BQ40" s="97"/>
      <c r="BR40" s="97"/>
      <c r="BS40" s="97"/>
      <c r="BT40" s="97"/>
      <c r="BU40" s="97"/>
      <c r="BV40" s="97"/>
      <c r="BW40" s="116"/>
      <c r="BX40" s="116"/>
      <c r="BY40" s="116"/>
      <c r="BZ40" s="116">
        <v>1</v>
      </c>
      <c r="CA40" s="116"/>
      <c r="CB40" s="89" t="s">
        <v>200</v>
      </c>
    </row>
    <row r="41" spans="1:80" x14ac:dyDescent="0.2">
      <c r="A41" s="80" t="s">
        <v>171</v>
      </c>
      <c r="B41" s="80" t="str">
        <f t="shared" si="1"/>
        <v>5101MSV-23</v>
      </c>
      <c r="C41" s="94"/>
      <c r="D41" s="94"/>
      <c r="E41" s="104" t="s">
        <v>148</v>
      </c>
      <c r="F41" s="104" t="s">
        <v>119</v>
      </c>
      <c r="G41" s="104" t="s">
        <v>179</v>
      </c>
      <c r="H41" s="104" t="s">
        <v>216</v>
      </c>
      <c r="I41" s="95"/>
      <c r="J41" s="96"/>
      <c r="K41" s="98" t="s">
        <v>174</v>
      </c>
      <c r="L41" s="98" t="s">
        <v>176</v>
      </c>
      <c r="M41" s="105" t="s">
        <v>178</v>
      </c>
      <c r="N41" s="97" t="s">
        <v>173</v>
      </c>
      <c r="O41" s="80" t="s">
        <v>112</v>
      </c>
      <c r="P41" s="82" t="s">
        <v>111</v>
      </c>
      <c r="Q41" s="98" t="s">
        <v>207</v>
      </c>
      <c r="R41" s="98"/>
      <c r="S41" s="98"/>
      <c r="T41" s="99"/>
      <c r="U41" s="99"/>
      <c r="V41" s="97"/>
      <c r="W41" s="97"/>
      <c r="X41" s="100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100"/>
      <c r="BA41" s="100"/>
      <c r="BB41" s="100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  <c r="BP41" s="97"/>
      <c r="BQ41" s="97"/>
      <c r="BR41" s="97"/>
      <c r="BS41" s="97"/>
      <c r="BT41" s="97"/>
      <c r="BU41" s="97"/>
      <c r="BV41" s="97"/>
      <c r="BW41" s="116"/>
      <c r="BX41" s="116"/>
      <c r="BY41" s="116"/>
      <c r="BZ41" s="116">
        <v>1</v>
      </c>
      <c r="CA41" s="116"/>
      <c r="CB41" s="89" t="s">
        <v>200</v>
      </c>
    </row>
    <row r="42" spans="1:80" x14ac:dyDescent="0.2">
      <c r="A42" s="80" t="s">
        <v>171</v>
      </c>
      <c r="B42" s="80" t="str">
        <f t="shared" si="1"/>
        <v>5101MSV-22</v>
      </c>
      <c r="C42" s="94"/>
      <c r="D42" s="94"/>
      <c r="E42" s="104" t="s">
        <v>148</v>
      </c>
      <c r="F42" s="104" t="s">
        <v>119</v>
      </c>
      <c r="G42" s="104" t="s">
        <v>179</v>
      </c>
      <c r="H42" s="104" t="s">
        <v>155</v>
      </c>
      <c r="I42" s="95"/>
      <c r="J42" s="96"/>
      <c r="K42" s="98" t="s">
        <v>174</v>
      </c>
      <c r="L42" s="98"/>
      <c r="M42" s="105" t="s">
        <v>185</v>
      </c>
      <c r="N42" s="97" t="s">
        <v>173</v>
      </c>
      <c r="O42" s="80" t="s">
        <v>112</v>
      </c>
      <c r="P42" s="82" t="s">
        <v>111</v>
      </c>
      <c r="Q42" s="98"/>
      <c r="R42" s="98"/>
      <c r="S42" s="98"/>
      <c r="T42" s="99"/>
      <c r="U42" s="99"/>
      <c r="V42" s="97"/>
      <c r="W42" s="97"/>
      <c r="X42" s="100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100"/>
      <c r="BA42" s="100"/>
      <c r="BB42" s="100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  <c r="BP42" s="97"/>
      <c r="BQ42" s="97"/>
      <c r="BR42" s="97"/>
      <c r="BS42" s="97"/>
      <c r="BT42" s="97"/>
      <c r="BU42" s="97"/>
      <c r="BV42" s="97"/>
      <c r="BW42" s="116"/>
      <c r="BX42" s="116"/>
      <c r="BY42" s="116"/>
      <c r="BZ42" s="116">
        <v>1</v>
      </c>
      <c r="CA42" s="116"/>
      <c r="CB42" s="37"/>
    </row>
    <row r="43" spans="1:80" x14ac:dyDescent="0.2">
      <c r="A43" s="80" t="s">
        <v>171</v>
      </c>
      <c r="B43" s="80" t="str">
        <f t="shared" si="1"/>
        <v>5101PZ-20</v>
      </c>
      <c r="C43" s="94"/>
      <c r="D43" s="94"/>
      <c r="E43" s="104" t="s">
        <v>148</v>
      </c>
      <c r="F43" s="104" t="s">
        <v>119</v>
      </c>
      <c r="G43" s="104" t="s">
        <v>223</v>
      </c>
      <c r="H43" s="104" t="s">
        <v>153</v>
      </c>
      <c r="I43" s="95"/>
      <c r="J43" s="96"/>
      <c r="K43" s="98" t="s">
        <v>218</v>
      </c>
      <c r="L43" s="98"/>
      <c r="M43" s="105"/>
      <c r="N43" s="97" t="s">
        <v>173</v>
      </c>
      <c r="O43" s="80" t="s">
        <v>112</v>
      </c>
      <c r="P43" s="82" t="s">
        <v>111</v>
      </c>
      <c r="Q43" s="98" t="s">
        <v>219</v>
      </c>
      <c r="R43" s="98"/>
      <c r="S43" s="98"/>
      <c r="T43" s="99"/>
      <c r="U43" s="99"/>
      <c r="V43" s="97"/>
      <c r="W43" s="97"/>
      <c r="X43" s="100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100"/>
      <c r="BA43" s="100"/>
      <c r="BB43" s="100"/>
      <c r="BC43" s="97"/>
      <c r="BD43" s="97"/>
      <c r="BE43" s="97"/>
      <c r="BF43" s="97"/>
      <c r="BG43" s="97"/>
      <c r="BH43" s="97"/>
      <c r="BI43" s="97"/>
      <c r="BJ43" s="97"/>
      <c r="BK43" s="97"/>
      <c r="BL43" s="97"/>
      <c r="BM43" s="97"/>
      <c r="BN43" s="97"/>
      <c r="BO43" s="97"/>
      <c r="BP43" s="97"/>
      <c r="BQ43" s="97"/>
      <c r="BR43" s="97"/>
      <c r="BS43" s="97"/>
      <c r="BT43" s="97"/>
      <c r="BU43" s="97"/>
      <c r="BV43" s="97"/>
      <c r="BW43" s="116"/>
      <c r="BX43" s="116"/>
      <c r="BY43" s="116">
        <v>2</v>
      </c>
      <c r="BZ43" s="116"/>
      <c r="CA43" s="116"/>
      <c r="CB43" s="89"/>
    </row>
    <row r="44" spans="1:80" x14ac:dyDescent="0.2">
      <c r="A44" s="80" t="s">
        <v>171</v>
      </c>
      <c r="B44" s="80" t="str">
        <f t="shared" si="1"/>
        <v>5101PT-20</v>
      </c>
      <c r="C44" s="94"/>
      <c r="D44" s="94"/>
      <c r="E44" s="104" t="s">
        <v>148</v>
      </c>
      <c r="F44" s="104" t="s">
        <v>119</v>
      </c>
      <c r="G44" s="104" t="s">
        <v>129</v>
      </c>
      <c r="H44" s="104" t="s">
        <v>153</v>
      </c>
      <c r="I44" s="95"/>
      <c r="J44" s="96"/>
      <c r="K44" s="98" t="s">
        <v>182</v>
      </c>
      <c r="L44" s="98"/>
      <c r="M44" s="105" t="s">
        <v>183</v>
      </c>
      <c r="N44" s="97" t="s">
        <v>173</v>
      </c>
      <c r="O44" s="80" t="s">
        <v>112</v>
      </c>
      <c r="P44" s="82" t="s">
        <v>111</v>
      </c>
      <c r="Q44" s="98" t="s">
        <v>211</v>
      </c>
      <c r="R44" s="98" t="s">
        <v>212</v>
      </c>
      <c r="S44" s="98"/>
      <c r="T44" s="99"/>
      <c r="U44" s="99"/>
      <c r="V44" s="97"/>
      <c r="W44" s="97"/>
      <c r="X44" s="100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100"/>
      <c r="BA44" s="100"/>
      <c r="BB44" s="100"/>
      <c r="BC44" s="97"/>
      <c r="BD44" s="97"/>
      <c r="BE44" s="97"/>
      <c r="BF44" s="97"/>
      <c r="BG44" s="97"/>
      <c r="BH44" s="97"/>
      <c r="BI44" s="97"/>
      <c r="BJ44" s="97"/>
      <c r="BK44" s="97"/>
      <c r="BL44" s="97"/>
      <c r="BM44" s="97"/>
      <c r="BN44" s="97"/>
      <c r="BO44" s="97"/>
      <c r="BP44" s="97"/>
      <c r="BQ44" s="97"/>
      <c r="BR44" s="97"/>
      <c r="BS44" s="97"/>
      <c r="BT44" s="97"/>
      <c r="BU44" s="97"/>
      <c r="BV44" s="97"/>
      <c r="BW44" s="116">
        <v>1</v>
      </c>
      <c r="BX44" s="116"/>
      <c r="BY44" s="116"/>
      <c r="BZ44" s="116"/>
      <c r="CA44" s="116"/>
      <c r="CB44" s="89" t="s">
        <v>201</v>
      </c>
    </row>
    <row r="45" spans="1:80" x14ac:dyDescent="0.2">
      <c r="A45" s="80" t="s">
        <v>171</v>
      </c>
      <c r="B45" s="80" t="str">
        <f t="shared" si="1"/>
        <v>5101PT-21</v>
      </c>
      <c r="C45" s="94"/>
      <c r="D45" s="94"/>
      <c r="E45" s="104" t="s">
        <v>148</v>
      </c>
      <c r="F45" s="104" t="s">
        <v>119</v>
      </c>
      <c r="G45" s="104" t="s">
        <v>129</v>
      </c>
      <c r="H45" s="104" t="s">
        <v>154</v>
      </c>
      <c r="I45" s="95"/>
      <c r="J45" s="96"/>
      <c r="K45" s="98" t="s">
        <v>182</v>
      </c>
      <c r="L45" s="98"/>
      <c r="M45" s="105" t="s">
        <v>184</v>
      </c>
      <c r="N45" s="97" t="s">
        <v>173</v>
      </c>
      <c r="O45" s="80" t="s">
        <v>112</v>
      </c>
      <c r="P45" s="82" t="s">
        <v>111</v>
      </c>
      <c r="Q45" s="98" t="s">
        <v>211</v>
      </c>
      <c r="R45" s="98" t="s">
        <v>212</v>
      </c>
      <c r="S45" s="98"/>
      <c r="T45" s="99"/>
      <c r="U45" s="99"/>
      <c r="V45" s="97"/>
      <c r="W45" s="97"/>
      <c r="X45" s="100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100"/>
      <c r="BA45" s="100"/>
      <c r="BB45" s="100"/>
      <c r="BC45" s="97"/>
      <c r="BD45" s="97"/>
      <c r="BE45" s="97"/>
      <c r="BF45" s="97"/>
      <c r="BG45" s="97"/>
      <c r="BH45" s="97"/>
      <c r="BI45" s="97"/>
      <c r="BJ45" s="97"/>
      <c r="BK45" s="97"/>
      <c r="BL45" s="97"/>
      <c r="BM45" s="97"/>
      <c r="BN45" s="97"/>
      <c r="BO45" s="97"/>
      <c r="BP45" s="97"/>
      <c r="BQ45" s="97"/>
      <c r="BR45" s="97"/>
      <c r="BS45" s="97"/>
      <c r="BT45" s="97"/>
      <c r="BU45" s="97"/>
      <c r="BV45" s="97"/>
      <c r="BW45" s="116">
        <v>1</v>
      </c>
      <c r="BX45" s="116"/>
      <c r="BY45" s="116"/>
      <c r="BZ45" s="116"/>
      <c r="CA45" s="116"/>
      <c r="CB45" s="89" t="s">
        <v>201</v>
      </c>
    </row>
    <row r="46" spans="1:80" x14ac:dyDescent="0.2">
      <c r="A46" s="80" t="s">
        <v>171</v>
      </c>
      <c r="B46" s="80" t="str">
        <f t="shared" si="1"/>
        <v>5101PT-22</v>
      </c>
      <c r="C46" s="94"/>
      <c r="D46" s="94"/>
      <c r="E46" s="104" t="s">
        <v>148</v>
      </c>
      <c r="F46" s="104" t="s">
        <v>119</v>
      </c>
      <c r="G46" s="104" t="s">
        <v>129</v>
      </c>
      <c r="H46" s="104" t="s">
        <v>155</v>
      </c>
      <c r="I46" s="95"/>
      <c r="J46" s="96"/>
      <c r="K46" s="98" t="s">
        <v>182</v>
      </c>
      <c r="L46" s="98"/>
      <c r="M46" s="105" t="s">
        <v>185</v>
      </c>
      <c r="N46" s="97" t="s">
        <v>173</v>
      </c>
      <c r="O46" s="80" t="s">
        <v>112</v>
      </c>
      <c r="P46" s="82" t="s">
        <v>111</v>
      </c>
      <c r="Q46" s="98" t="s">
        <v>211</v>
      </c>
      <c r="R46" s="98" t="s">
        <v>212</v>
      </c>
      <c r="S46" s="98"/>
      <c r="T46" s="99"/>
      <c r="U46" s="99"/>
      <c r="V46" s="97"/>
      <c r="W46" s="97"/>
      <c r="X46" s="100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100"/>
      <c r="BA46" s="100"/>
      <c r="BB46" s="100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116">
        <v>1</v>
      </c>
      <c r="BX46" s="116"/>
      <c r="BY46" s="116"/>
      <c r="BZ46" s="116"/>
      <c r="CA46" s="116"/>
      <c r="CB46" s="89" t="s">
        <v>201</v>
      </c>
    </row>
    <row r="47" spans="1:80" x14ac:dyDescent="0.2">
      <c r="A47" s="80" t="s">
        <v>171</v>
      </c>
      <c r="B47" s="80" t="str">
        <f t="shared" si="1"/>
        <v>5101TT-20</v>
      </c>
      <c r="C47" s="94"/>
      <c r="D47" s="94"/>
      <c r="E47" s="104" t="s">
        <v>148</v>
      </c>
      <c r="F47" s="104" t="s">
        <v>119</v>
      </c>
      <c r="G47" s="104" t="s">
        <v>125</v>
      </c>
      <c r="H47" s="104" t="s">
        <v>153</v>
      </c>
      <c r="I47" s="95"/>
      <c r="J47" s="96"/>
      <c r="K47" s="98" t="s">
        <v>106</v>
      </c>
      <c r="L47" s="98"/>
      <c r="M47" s="105" t="s">
        <v>184</v>
      </c>
      <c r="N47" s="97" t="s">
        <v>173</v>
      </c>
      <c r="O47" s="80" t="s">
        <v>112</v>
      </c>
      <c r="P47" s="82" t="s">
        <v>111</v>
      </c>
      <c r="Q47" s="98" t="s">
        <v>211</v>
      </c>
      <c r="R47" s="98" t="s">
        <v>213</v>
      </c>
      <c r="S47" s="98"/>
      <c r="T47" s="99"/>
      <c r="U47" s="99"/>
      <c r="V47" s="97"/>
      <c r="W47" s="97"/>
      <c r="X47" s="100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7"/>
      <c r="AV47" s="97"/>
      <c r="AW47" s="97"/>
      <c r="AX47" s="97"/>
      <c r="AY47" s="97"/>
      <c r="AZ47" s="100"/>
      <c r="BA47" s="100"/>
      <c r="BB47" s="100"/>
      <c r="BC47" s="97"/>
      <c r="BD47" s="97"/>
      <c r="BE47" s="97"/>
      <c r="BF47" s="97"/>
      <c r="BG47" s="97"/>
      <c r="BH47" s="97"/>
      <c r="BI47" s="97"/>
      <c r="BJ47" s="97"/>
      <c r="BK47" s="97"/>
      <c r="BL47" s="97"/>
      <c r="BM47" s="97"/>
      <c r="BN47" s="97"/>
      <c r="BO47" s="97"/>
      <c r="BP47" s="97"/>
      <c r="BQ47" s="97"/>
      <c r="BR47" s="97"/>
      <c r="BS47" s="97"/>
      <c r="BT47" s="97"/>
      <c r="BU47" s="97"/>
      <c r="BV47" s="97"/>
      <c r="BW47" s="116">
        <v>1</v>
      </c>
      <c r="BX47" s="116"/>
      <c r="BY47" s="116"/>
      <c r="BZ47" s="116"/>
      <c r="CA47" s="116"/>
      <c r="CB47" s="89" t="s">
        <v>198</v>
      </c>
    </row>
    <row r="48" spans="1:80" x14ac:dyDescent="0.2">
      <c r="A48" s="80" t="s">
        <v>171</v>
      </c>
      <c r="B48" s="80" t="str">
        <f t="shared" si="1"/>
        <v>5101TT-30</v>
      </c>
      <c r="C48" s="94"/>
      <c r="D48" s="94"/>
      <c r="E48" s="104" t="s">
        <v>148</v>
      </c>
      <c r="F48" s="104" t="s">
        <v>119</v>
      </c>
      <c r="G48" s="104" t="s">
        <v>125</v>
      </c>
      <c r="H48" s="104" t="s">
        <v>149</v>
      </c>
      <c r="I48" s="95"/>
      <c r="J48" s="96"/>
      <c r="K48" s="98" t="s">
        <v>106</v>
      </c>
      <c r="L48" s="98" t="s">
        <v>116</v>
      </c>
      <c r="M48" s="105" t="s">
        <v>187</v>
      </c>
      <c r="N48" s="105" t="s">
        <v>186</v>
      </c>
      <c r="O48" s="80" t="s">
        <v>112</v>
      </c>
      <c r="P48" s="82" t="s">
        <v>111</v>
      </c>
      <c r="Q48" s="98" t="s">
        <v>211</v>
      </c>
      <c r="R48" s="98" t="s">
        <v>213</v>
      </c>
      <c r="S48" s="98"/>
      <c r="T48" s="99"/>
      <c r="U48" s="99"/>
      <c r="V48" s="97"/>
      <c r="W48" s="97"/>
      <c r="X48" s="100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100"/>
      <c r="BA48" s="100"/>
      <c r="BB48" s="100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  <c r="BP48" s="97"/>
      <c r="BQ48" s="97"/>
      <c r="BR48" s="97"/>
      <c r="BS48" s="97"/>
      <c r="BT48" s="97"/>
      <c r="BU48" s="97"/>
      <c r="BV48" s="97"/>
      <c r="BW48" s="116">
        <v>1</v>
      </c>
      <c r="BX48" s="116"/>
      <c r="BY48" s="116"/>
      <c r="BZ48" s="116"/>
      <c r="CA48" s="116"/>
      <c r="CB48" s="89" t="s">
        <v>198</v>
      </c>
    </row>
    <row r="49" spans="1:80" x14ac:dyDescent="0.2">
      <c r="A49" s="80" t="s">
        <v>171</v>
      </c>
      <c r="B49" s="80" t="str">
        <f t="shared" si="1"/>
        <v>5101TT-31</v>
      </c>
      <c r="C49" s="94"/>
      <c r="D49" s="94"/>
      <c r="E49" s="104" t="s">
        <v>148</v>
      </c>
      <c r="F49" s="104" t="s">
        <v>119</v>
      </c>
      <c r="G49" s="104" t="s">
        <v>125</v>
      </c>
      <c r="H49" s="104" t="s">
        <v>158</v>
      </c>
      <c r="I49" s="95"/>
      <c r="J49" s="96"/>
      <c r="K49" s="98" t="s">
        <v>106</v>
      </c>
      <c r="L49" s="98" t="s">
        <v>116</v>
      </c>
      <c r="M49" s="105" t="s">
        <v>186</v>
      </c>
      <c r="N49" s="105" t="s">
        <v>186</v>
      </c>
      <c r="O49" s="80" t="s">
        <v>112</v>
      </c>
      <c r="P49" s="82" t="s">
        <v>111</v>
      </c>
      <c r="Q49" s="98" t="s">
        <v>211</v>
      </c>
      <c r="R49" s="98" t="s">
        <v>213</v>
      </c>
      <c r="S49" s="98"/>
      <c r="T49" s="99"/>
      <c r="U49" s="99"/>
      <c r="V49" s="97"/>
      <c r="W49" s="97"/>
      <c r="X49" s="100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100"/>
      <c r="BA49" s="100"/>
      <c r="BB49" s="100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  <c r="BP49" s="97"/>
      <c r="BQ49" s="97"/>
      <c r="BR49" s="97"/>
      <c r="BS49" s="97"/>
      <c r="BT49" s="97"/>
      <c r="BU49" s="97"/>
      <c r="BV49" s="97"/>
      <c r="BW49" s="116">
        <v>1</v>
      </c>
      <c r="BX49" s="116"/>
      <c r="BY49" s="116"/>
      <c r="BZ49" s="116"/>
      <c r="CA49" s="116"/>
      <c r="CB49" s="89" t="s">
        <v>198</v>
      </c>
    </row>
    <row r="50" spans="1:80" x14ac:dyDescent="0.2">
      <c r="A50" s="80" t="s">
        <v>171</v>
      </c>
      <c r="B50" s="80" t="str">
        <f t="shared" si="1"/>
        <v>5101TT-32</v>
      </c>
      <c r="C50" s="94"/>
      <c r="D50" s="94"/>
      <c r="E50" s="104" t="s">
        <v>148</v>
      </c>
      <c r="F50" s="104" t="s">
        <v>119</v>
      </c>
      <c r="G50" s="104" t="s">
        <v>125</v>
      </c>
      <c r="H50" s="104" t="s">
        <v>193</v>
      </c>
      <c r="I50" s="95"/>
      <c r="J50" s="96"/>
      <c r="K50" s="98" t="s">
        <v>106</v>
      </c>
      <c r="L50" s="98" t="s">
        <v>115</v>
      </c>
      <c r="M50" s="105" t="s">
        <v>186</v>
      </c>
      <c r="N50" s="105" t="s">
        <v>186</v>
      </c>
      <c r="O50" s="80" t="s">
        <v>112</v>
      </c>
      <c r="P50" s="82" t="s">
        <v>111</v>
      </c>
      <c r="Q50" s="98" t="s">
        <v>211</v>
      </c>
      <c r="R50" s="98" t="s">
        <v>213</v>
      </c>
      <c r="S50" s="98"/>
      <c r="T50" s="99"/>
      <c r="U50" s="99"/>
      <c r="V50" s="97"/>
      <c r="W50" s="97"/>
      <c r="X50" s="100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100"/>
      <c r="BA50" s="100"/>
      <c r="BB50" s="100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  <c r="BP50" s="97"/>
      <c r="BQ50" s="97"/>
      <c r="BR50" s="97"/>
      <c r="BS50" s="97"/>
      <c r="BT50" s="97"/>
      <c r="BU50" s="97"/>
      <c r="BV50" s="97"/>
      <c r="BW50" s="116">
        <v>1</v>
      </c>
      <c r="BX50" s="116"/>
      <c r="BY50" s="116"/>
      <c r="BZ50" s="116"/>
      <c r="CA50" s="116"/>
      <c r="CB50" s="89" t="s">
        <v>198</v>
      </c>
    </row>
    <row r="51" spans="1:80" x14ac:dyDescent="0.2">
      <c r="A51" s="80" t="s">
        <v>171</v>
      </c>
      <c r="B51" s="80" t="str">
        <f t="shared" si="1"/>
        <v>5101PT-30</v>
      </c>
      <c r="C51" s="94"/>
      <c r="D51" s="94"/>
      <c r="E51" s="104" t="s">
        <v>148</v>
      </c>
      <c r="F51" s="104" t="s">
        <v>119</v>
      </c>
      <c r="G51" s="104" t="s">
        <v>129</v>
      </c>
      <c r="H51" s="104" t="s">
        <v>149</v>
      </c>
      <c r="I51" s="95"/>
      <c r="J51" s="96"/>
      <c r="K51" s="98" t="s">
        <v>182</v>
      </c>
      <c r="L51" s="98" t="s">
        <v>115</v>
      </c>
      <c r="M51" s="105" t="s">
        <v>186</v>
      </c>
      <c r="N51" s="105" t="s">
        <v>186</v>
      </c>
      <c r="O51" s="80" t="s">
        <v>112</v>
      </c>
      <c r="P51" s="82" t="s">
        <v>111</v>
      </c>
      <c r="Q51" s="98" t="s">
        <v>211</v>
      </c>
      <c r="R51" s="98" t="s">
        <v>212</v>
      </c>
      <c r="S51" s="98"/>
      <c r="T51" s="99"/>
      <c r="U51" s="99"/>
      <c r="V51" s="97"/>
      <c r="W51" s="97"/>
      <c r="X51" s="100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100"/>
      <c r="BA51" s="100"/>
      <c r="BB51" s="100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  <c r="BP51" s="97"/>
      <c r="BQ51" s="97"/>
      <c r="BR51" s="97"/>
      <c r="BS51" s="97"/>
      <c r="BT51" s="97"/>
      <c r="BU51" s="97"/>
      <c r="BV51" s="97"/>
      <c r="BW51" s="116">
        <v>1</v>
      </c>
      <c r="BX51" s="116"/>
      <c r="BY51" s="116"/>
      <c r="BZ51" s="116"/>
      <c r="CA51" s="116"/>
      <c r="CB51" s="89" t="s">
        <v>201</v>
      </c>
    </row>
    <row r="52" spans="1:80" x14ac:dyDescent="0.2">
      <c r="A52" s="80" t="s">
        <v>171</v>
      </c>
      <c r="B52" s="80" t="str">
        <f t="shared" si="1"/>
        <v>5101CV-40</v>
      </c>
      <c r="C52" s="94"/>
      <c r="D52" s="94"/>
      <c r="E52" s="104" t="s">
        <v>148</v>
      </c>
      <c r="F52" s="104" t="s">
        <v>119</v>
      </c>
      <c r="G52" s="104" t="s">
        <v>124</v>
      </c>
      <c r="H52" s="104" t="s">
        <v>194</v>
      </c>
      <c r="I52" s="95"/>
      <c r="J52" s="96"/>
      <c r="K52" s="98" t="s">
        <v>189</v>
      </c>
      <c r="L52" s="98"/>
      <c r="M52" s="105" t="s">
        <v>191</v>
      </c>
      <c r="N52" s="97" t="s">
        <v>192</v>
      </c>
      <c r="O52" s="80" t="s">
        <v>112</v>
      </c>
      <c r="P52" s="82" t="s">
        <v>111</v>
      </c>
      <c r="Q52" s="98" t="s">
        <v>141</v>
      </c>
      <c r="R52" s="98" t="s">
        <v>210</v>
      </c>
      <c r="S52" s="98"/>
      <c r="T52" s="99"/>
      <c r="U52" s="99"/>
      <c r="V52" s="97"/>
      <c r="W52" s="97"/>
      <c r="X52" s="100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100"/>
      <c r="BA52" s="100"/>
      <c r="BB52" s="100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97"/>
      <c r="BR52" s="97"/>
      <c r="BS52" s="97"/>
      <c r="BT52" s="97"/>
      <c r="BU52" s="97"/>
      <c r="BV52" s="97"/>
      <c r="BW52" s="116"/>
      <c r="BX52" s="116">
        <v>1</v>
      </c>
      <c r="BY52" s="116"/>
      <c r="BZ52" s="116"/>
      <c r="CA52" s="116"/>
      <c r="CB52" s="37" t="s">
        <v>202</v>
      </c>
    </row>
    <row r="53" spans="1:80" x14ac:dyDescent="0.2">
      <c r="A53" s="80" t="s">
        <v>171</v>
      </c>
      <c r="B53" s="80" t="str">
        <f t="shared" si="1"/>
        <v>5101PT-40</v>
      </c>
      <c r="C53" s="94"/>
      <c r="D53" s="94"/>
      <c r="E53" s="104" t="s">
        <v>148</v>
      </c>
      <c r="F53" s="104" t="s">
        <v>119</v>
      </c>
      <c r="G53" s="104" t="s">
        <v>129</v>
      </c>
      <c r="H53" s="104" t="s">
        <v>194</v>
      </c>
      <c r="I53" s="95"/>
      <c r="J53" s="96"/>
      <c r="K53" s="98" t="s">
        <v>182</v>
      </c>
      <c r="L53" s="98"/>
      <c r="M53" s="105" t="s">
        <v>191</v>
      </c>
      <c r="N53" s="97" t="s">
        <v>192</v>
      </c>
      <c r="O53" s="80" t="s">
        <v>112</v>
      </c>
      <c r="P53" s="82" t="s">
        <v>111</v>
      </c>
      <c r="Q53" s="98" t="s">
        <v>211</v>
      </c>
      <c r="R53" s="98" t="s">
        <v>212</v>
      </c>
      <c r="S53" s="98"/>
      <c r="T53" s="99"/>
      <c r="U53" s="99"/>
      <c r="V53" s="97"/>
      <c r="W53" s="97"/>
      <c r="X53" s="100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100"/>
      <c r="BA53" s="100"/>
      <c r="BB53" s="100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  <c r="BS53" s="97"/>
      <c r="BT53" s="97"/>
      <c r="BU53" s="97"/>
      <c r="BV53" s="97"/>
      <c r="BW53" s="116">
        <v>1</v>
      </c>
      <c r="BX53" s="116"/>
      <c r="BY53" s="116"/>
      <c r="BZ53" s="116"/>
      <c r="CA53" s="116"/>
      <c r="CB53" s="89" t="s">
        <v>201</v>
      </c>
    </row>
    <row r="54" spans="1:80" x14ac:dyDescent="0.2">
      <c r="A54" s="80" t="s">
        <v>171</v>
      </c>
      <c r="B54" s="80" t="str">
        <f t="shared" si="1"/>
        <v>5101TT-40</v>
      </c>
      <c r="C54" s="94"/>
      <c r="D54" s="94"/>
      <c r="E54" s="104" t="s">
        <v>148</v>
      </c>
      <c r="F54" s="104" t="s">
        <v>119</v>
      </c>
      <c r="G54" s="104" t="s">
        <v>125</v>
      </c>
      <c r="H54" s="104" t="s">
        <v>194</v>
      </c>
      <c r="I54" s="95"/>
      <c r="J54" s="96"/>
      <c r="K54" s="98" t="s">
        <v>106</v>
      </c>
      <c r="L54" s="98" t="s">
        <v>116</v>
      </c>
      <c r="M54" s="105" t="s">
        <v>191</v>
      </c>
      <c r="N54" s="97" t="s">
        <v>192</v>
      </c>
      <c r="O54" s="80" t="s">
        <v>112</v>
      </c>
      <c r="P54" s="82" t="s">
        <v>111</v>
      </c>
      <c r="Q54" s="98" t="s">
        <v>211</v>
      </c>
      <c r="R54" s="98" t="s">
        <v>213</v>
      </c>
      <c r="S54" s="98"/>
      <c r="T54" s="99"/>
      <c r="U54" s="99"/>
      <c r="V54" s="97"/>
      <c r="W54" s="97"/>
      <c r="X54" s="100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100"/>
      <c r="BA54" s="100"/>
      <c r="BB54" s="100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  <c r="BP54" s="97"/>
      <c r="BQ54" s="97"/>
      <c r="BR54" s="97"/>
      <c r="BS54" s="97"/>
      <c r="BT54" s="97"/>
      <c r="BU54" s="97"/>
      <c r="BV54" s="97"/>
      <c r="BW54" s="116">
        <v>1</v>
      </c>
      <c r="BX54" s="116"/>
      <c r="BY54" s="116"/>
      <c r="BZ54" s="116"/>
      <c r="CA54" s="116"/>
      <c r="CB54" s="89" t="s">
        <v>198</v>
      </c>
    </row>
    <row r="55" spans="1:80" x14ac:dyDescent="0.2">
      <c r="A55" s="80" t="s">
        <v>171</v>
      </c>
      <c r="B55" s="80" t="str">
        <f t="shared" si="1"/>
        <v>5101TT-41</v>
      </c>
      <c r="C55" s="94"/>
      <c r="D55" s="94"/>
      <c r="E55" s="104" t="s">
        <v>148</v>
      </c>
      <c r="F55" s="104" t="s">
        <v>119</v>
      </c>
      <c r="G55" s="104" t="s">
        <v>125</v>
      </c>
      <c r="H55" s="104" t="s">
        <v>195</v>
      </c>
      <c r="I55" s="95"/>
      <c r="J55" s="96"/>
      <c r="K55" s="98" t="s">
        <v>106</v>
      </c>
      <c r="L55" s="98" t="s">
        <v>115</v>
      </c>
      <c r="M55" s="105" t="s">
        <v>191</v>
      </c>
      <c r="N55" s="97" t="s">
        <v>192</v>
      </c>
      <c r="O55" s="80" t="s">
        <v>112</v>
      </c>
      <c r="P55" s="82" t="s">
        <v>111</v>
      </c>
      <c r="Q55" s="98" t="s">
        <v>211</v>
      </c>
      <c r="R55" s="98" t="s">
        <v>213</v>
      </c>
      <c r="S55" s="98"/>
      <c r="T55" s="99"/>
      <c r="U55" s="99"/>
      <c r="V55" s="97"/>
      <c r="W55" s="97"/>
      <c r="X55" s="100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100"/>
      <c r="BA55" s="100"/>
      <c r="BB55" s="100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  <c r="BP55" s="97"/>
      <c r="BQ55" s="97"/>
      <c r="BR55" s="97"/>
      <c r="BS55" s="97"/>
      <c r="BT55" s="97"/>
      <c r="BU55" s="97"/>
      <c r="BV55" s="97"/>
      <c r="BW55" s="116">
        <v>1</v>
      </c>
      <c r="BX55" s="116"/>
      <c r="BY55" s="116"/>
      <c r="BZ55" s="116"/>
      <c r="CA55" s="116"/>
      <c r="CB55" s="89" t="s">
        <v>198</v>
      </c>
    </row>
    <row r="56" spans="1:80" x14ac:dyDescent="0.2">
      <c r="A56" s="80" t="s">
        <v>171</v>
      </c>
      <c r="B56" s="80" t="str">
        <f t="shared" si="1"/>
        <v>5101CV-50</v>
      </c>
      <c r="C56" s="94"/>
      <c r="D56" s="94"/>
      <c r="E56" s="104" t="s">
        <v>148</v>
      </c>
      <c r="F56" s="104" t="s">
        <v>119</v>
      </c>
      <c r="G56" s="104" t="s">
        <v>124</v>
      </c>
      <c r="H56" s="104" t="s">
        <v>196</v>
      </c>
      <c r="I56" s="95"/>
      <c r="J56" s="96"/>
      <c r="K56" s="98" t="s">
        <v>189</v>
      </c>
      <c r="L56" s="98"/>
      <c r="M56" s="105" t="s">
        <v>190</v>
      </c>
      <c r="N56" s="97" t="s">
        <v>192</v>
      </c>
      <c r="O56" s="80" t="s">
        <v>112</v>
      </c>
      <c r="P56" s="82" t="s">
        <v>111</v>
      </c>
      <c r="Q56" s="98" t="s">
        <v>141</v>
      </c>
      <c r="R56" s="98" t="s">
        <v>210</v>
      </c>
      <c r="S56" s="98"/>
      <c r="T56" s="99"/>
      <c r="U56" s="99"/>
      <c r="V56" s="97"/>
      <c r="W56" s="97"/>
      <c r="X56" s="100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100"/>
      <c r="BA56" s="100"/>
      <c r="BB56" s="100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  <c r="BS56" s="97"/>
      <c r="BT56" s="97"/>
      <c r="BU56" s="97"/>
      <c r="BV56" s="97"/>
      <c r="BW56" s="116"/>
      <c r="BX56" s="116">
        <v>1</v>
      </c>
      <c r="BY56" s="116"/>
      <c r="BZ56" s="116"/>
      <c r="CA56" s="116"/>
      <c r="CB56" s="37" t="s">
        <v>202</v>
      </c>
    </row>
    <row r="57" spans="1:80" x14ac:dyDescent="0.2">
      <c r="A57" s="80" t="s">
        <v>171</v>
      </c>
      <c r="B57" s="80" t="str">
        <f t="shared" si="1"/>
        <v>5101PT-50</v>
      </c>
      <c r="C57" s="94"/>
      <c r="D57" s="94"/>
      <c r="E57" s="104" t="s">
        <v>148</v>
      </c>
      <c r="F57" s="104" t="s">
        <v>119</v>
      </c>
      <c r="G57" s="104" t="s">
        <v>129</v>
      </c>
      <c r="H57" s="104" t="s">
        <v>196</v>
      </c>
      <c r="I57" s="95"/>
      <c r="J57" s="96"/>
      <c r="K57" s="98" t="s">
        <v>182</v>
      </c>
      <c r="L57" s="98"/>
      <c r="M57" s="105" t="s">
        <v>190</v>
      </c>
      <c r="N57" s="97" t="s">
        <v>192</v>
      </c>
      <c r="O57" s="80" t="s">
        <v>112</v>
      </c>
      <c r="P57" s="82" t="s">
        <v>111</v>
      </c>
      <c r="Q57" s="98" t="s">
        <v>211</v>
      </c>
      <c r="R57" s="98" t="s">
        <v>212</v>
      </c>
      <c r="S57" s="98"/>
      <c r="T57" s="99"/>
      <c r="U57" s="99"/>
      <c r="V57" s="97"/>
      <c r="W57" s="97"/>
      <c r="X57" s="100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/>
      <c r="AU57" s="97"/>
      <c r="AV57" s="97"/>
      <c r="AW57" s="97"/>
      <c r="AX57" s="97"/>
      <c r="AY57" s="97"/>
      <c r="AZ57" s="100"/>
      <c r="BA57" s="100"/>
      <c r="BB57" s="100"/>
      <c r="BC57" s="97"/>
      <c r="BD57" s="97"/>
      <c r="BE57" s="97"/>
      <c r="BF57" s="97"/>
      <c r="BG57" s="97"/>
      <c r="BH57" s="97"/>
      <c r="BI57" s="97"/>
      <c r="BJ57" s="97"/>
      <c r="BK57" s="97"/>
      <c r="BL57" s="97"/>
      <c r="BM57" s="97"/>
      <c r="BN57" s="97"/>
      <c r="BO57" s="97"/>
      <c r="BP57" s="97"/>
      <c r="BQ57" s="97"/>
      <c r="BR57" s="97"/>
      <c r="BS57" s="97"/>
      <c r="BT57" s="97"/>
      <c r="BU57" s="97"/>
      <c r="BV57" s="97"/>
      <c r="BW57" s="116">
        <v>1</v>
      </c>
      <c r="BX57" s="116"/>
      <c r="BY57" s="116"/>
      <c r="BZ57" s="116"/>
      <c r="CA57" s="116"/>
      <c r="CB57" s="89" t="s">
        <v>201</v>
      </c>
    </row>
    <row r="58" spans="1:80" x14ac:dyDescent="0.2">
      <c r="A58" s="80" t="s">
        <v>171</v>
      </c>
      <c r="B58" s="80" t="str">
        <f t="shared" si="1"/>
        <v>5101TT-50</v>
      </c>
      <c r="C58" s="94"/>
      <c r="D58" s="94"/>
      <c r="E58" s="104" t="s">
        <v>148</v>
      </c>
      <c r="F58" s="104" t="s">
        <v>119</v>
      </c>
      <c r="G58" s="104" t="s">
        <v>125</v>
      </c>
      <c r="H58" s="104" t="s">
        <v>196</v>
      </c>
      <c r="I58" s="95"/>
      <c r="J58" s="96"/>
      <c r="K58" s="98" t="s">
        <v>106</v>
      </c>
      <c r="L58" s="98" t="s">
        <v>116</v>
      </c>
      <c r="M58" s="105" t="s">
        <v>190</v>
      </c>
      <c r="N58" s="97" t="s">
        <v>192</v>
      </c>
      <c r="O58" s="80" t="s">
        <v>112</v>
      </c>
      <c r="P58" s="82" t="s">
        <v>111</v>
      </c>
      <c r="Q58" s="98" t="s">
        <v>211</v>
      </c>
      <c r="R58" s="98" t="s">
        <v>213</v>
      </c>
      <c r="S58" s="98"/>
      <c r="T58" s="99"/>
      <c r="U58" s="99"/>
      <c r="V58" s="97"/>
      <c r="W58" s="97"/>
      <c r="X58" s="100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  <c r="AT58" s="97"/>
      <c r="AU58" s="97"/>
      <c r="AV58" s="97"/>
      <c r="AW58" s="97"/>
      <c r="AX58" s="97"/>
      <c r="AY58" s="97"/>
      <c r="AZ58" s="100"/>
      <c r="BA58" s="100"/>
      <c r="BB58" s="100"/>
      <c r="BC58" s="97"/>
      <c r="BD58" s="97"/>
      <c r="BE58" s="97"/>
      <c r="BF58" s="97"/>
      <c r="BG58" s="97"/>
      <c r="BH58" s="97"/>
      <c r="BI58" s="97"/>
      <c r="BJ58" s="97"/>
      <c r="BK58" s="97"/>
      <c r="BL58" s="97"/>
      <c r="BM58" s="97"/>
      <c r="BN58" s="97"/>
      <c r="BO58" s="97"/>
      <c r="BP58" s="97"/>
      <c r="BQ58" s="97"/>
      <c r="BR58" s="97"/>
      <c r="BS58" s="97"/>
      <c r="BT58" s="97"/>
      <c r="BU58" s="97"/>
      <c r="BV58" s="97"/>
      <c r="BW58" s="116">
        <v>1</v>
      </c>
      <c r="BX58" s="116"/>
      <c r="BY58" s="116"/>
      <c r="BZ58" s="116"/>
      <c r="CA58" s="116"/>
      <c r="CB58" s="89" t="s">
        <v>198</v>
      </c>
    </row>
    <row r="59" spans="1:80" x14ac:dyDescent="0.2">
      <c r="A59" s="80" t="s">
        <v>171</v>
      </c>
      <c r="B59" s="80" t="str">
        <f t="shared" si="1"/>
        <v>5101TT-51</v>
      </c>
      <c r="C59" s="94"/>
      <c r="D59" s="94"/>
      <c r="E59" s="104" t="s">
        <v>148</v>
      </c>
      <c r="F59" s="104" t="s">
        <v>119</v>
      </c>
      <c r="G59" s="104" t="s">
        <v>125</v>
      </c>
      <c r="H59" s="104" t="s">
        <v>148</v>
      </c>
      <c r="I59" s="95"/>
      <c r="J59" s="96"/>
      <c r="K59" s="98" t="s">
        <v>106</v>
      </c>
      <c r="L59" s="98" t="s">
        <v>115</v>
      </c>
      <c r="M59" s="105" t="s">
        <v>190</v>
      </c>
      <c r="N59" s="97" t="s">
        <v>192</v>
      </c>
      <c r="O59" s="80" t="s">
        <v>112</v>
      </c>
      <c r="P59" s="82" t="s">
        <v>111</v>
      </c>
      <c r="Q59" s="98" t="s">
        <v>211</v>
      </c>
      <c r="R59" s="98" t="s">
        <v>213</v>
      </c>
      <c r="S59" s="98"/>
      <c r="T59" s="99"/>
      <c r="U59" s="99"/>
      <c r="V59" s="97"/>
      <c r="W59" s="97"/>
      <c r="X59" s="100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7"/>
      <c r="AL59" s="97"/>
      <c r="AM59" s="97"/>
      <c r="AN59" s="97"/>
      <c r="AO59" s="97"/>
      <c r="AP59" s="97"/>
      <c r="AQ59" s="97"/>
      <c r="AR59" s="97"/>
      <c r="AS59" s="97"/>
      <c r="AT59" s="97"/>
      <c r="AU59" s="97"/>
      <c r="AV59" s="97"/>
      <c r="AW59" s="97"/>
      <c r="AX59" s="97"/>
      <c r="AY59" s="97"/>
      <c r="AZ59" s="100"/>
      <c r="BA59" s="100"/>
      <c r="BB59" s="100"/>
      <c r="BC59" s="97"/>
      <c r="BD59" s="97"/>
      <c r="BE59" s="97"/>
      <c r="BF59" s="97"/>
      <c r="BG59" s="97"/>
      <c r="BH59" s="97"/>
      <c r="BI59" s="97"/>
      <c r="BJ59" s="97"/>
      <c r="BK59" s="97"/>
      <c r="BL59" s="97"/>
      <c r="BM59" s="97"/>
      <c r="BN59" s="97"/>
      <c r="BO59" s="97"/>
      <c r="BP59" s="97"/>
      <c r="BQ59" s="97"/>
      <c r="BR59" s="97"/>
      <c r="BS59" s="97"/>
      <c r="BT59" s="97"/>
      <c r="BU59" s="97"/>
      <c r="BV59" s="97"/>
      <c r="BW59" s="116">
        <v>1</v>
      </c>
      <c r="BX59" s="116"/>
      <c r="BY59" s="116"/>
      <c r="BZ59" s="116"/>
      <c r="CA59" s="116"/>
      <c r="CB59" s="89" t="s">
        <v>198</v>
      </c>
    </row>
    <row r="60" spans="1:80" x14ac:dyDescent="0.2">
      <c r="A60" s="80" t="s">
        <v>171</v>
      </c>
      <c r="B60" s="80" t="str">
        <f t="shared" si="1"/>
        <v>5101KWH-01</v>
      </c>
      <c r="C60" s="94"/>
      <c r="D60" s="94"/>
      <c r="E60" s="104" t="s">
        <v>148</v>
      </c>
      <c r="F60" s="104" t="s">
        <v>119</v>
      </c>
      <c r="G60" s="104" t="s">
        <v>221</v>
      </c>
      <c r="H60" s="104" t="s">
        <v>119</v>
      </c>
      <c r="I60" s="95"/>
      <c r="J60" s="96"/>
      <c r="K60" s="98" t="s">
        <v>161</v>
      </c>
      <c r="L60" s="98"/>
      <c r="M60" s="105"/>
      <c r="N60" s="97"/>
      <c r="O60" s="80" t="s">
        <v>112</v>
      </c>
      <c r="P60" s="82" t="s">
        <v>111</v>
      </c>
      <c r="Q60" s="98" t="s">
        <v>220</v>
      </c>
      <c r="R60" s="98"/>
      <c r="S60" s="98"/>
      <c r="T60" s="99"/>
      <c r="U60" s="99"/>
      <c r="V60" s="97"/>
      <c r="W60" s="97"/>
      <c r="X60" s="100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7"/>
      <c r="AS60" s="97"/>
      <c r="AT60" s="97"/>
      <c r="AU60" s="97"/>
      <c r="AV60" s="97"/>
      <c r="AW60" s="97"/>
      <c r="AX60" s="97"/>
      <c r="AY60" s="97"/>
      <c r="AZ60" s="100"/>
      <c r="BA60" s="100"/>
      <c r="BB60" s="100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  <c r="BP60" s="97"/>
      <c r="BQ60" s="97"/>
      <c r="BR60" s="97"/>
      <c r="BS60" s="97"/>
      <c r="BT60" s="97"/>
      <c r="BU60" s="97"/>
      <c r="BV60" s="97"/>
      <c r="BW60" s="116"/>
      <c r="BX60" s="116"/>
      <c r="BY60" s="116">
        <v>1</v>
      </c>
      <c r="BZ60" s="116"/>
      <c r="CA60" s="116"/>
      <c r="CB60" s="89" t="s">
        <v>200</v>
      </c>
    </row>
    <row r="62" spans="1:80" x14ac:dyDescent="0.2">
      <c r="K62" s="12"/>
      <c r="L62" s="6"/>
      <c r="M62" s="79"/>
      <c r="N62" s="12"/>
    </row>
    <row r="63" spans="1:80" x14ac:dyDescent="0.2">
      <c r="K63" s="12"/>
      <c r="L63" s="6"/>
      <c r="M63" s="79"/>
      <c r="N63" s="12"/>
    </row>
    <row r="64" spans="1:80" x14ac:dyDescent="0.2">
      <c r="K64" s="12"/>
      <c r="L64" s="6"/>
      <c r="M64" s="79"/>
      <c r="N64" s="12"/>
    </row>
    <row r="65" spans="11:14" x14ac:dyDescent="0.2">
      <c r="K65" s="12"/>
      <c r="L65" s="60"/>
      <c r="M65" s="79"/>
      <c r="N65" s="4"/>
    </row>
    <row r="66" spans="11:14" x14ac:dyDescent="0.2">
      <c r="K66" s="12"/>
      <c r="L66" s="60"/>
      <c r="M66" s="79"/>
      <c r="N66" s="4"/>
    </row>
    <row r="67" spans="11:14" x14ac:dyDescent="0.2">
      <c r="K67" s="12"/>
      <c r="L67" s="60"/>
      <c r="M67" s="79"/>
      <c r="N67" s="4"/>
    </row>
    <row r="68" spans="11:14" x14ac:dyDescent="0.2">
      <c r="K68" s="12"/>
      <c r="L68" s="6"/>
      <c r="M68" s="79"/>
      <c r="N68" s="12"/>
    </row>
    <row r="69" spans="11:14" x14ac:dyDescent="0.2">
      <c r="K69" s="12"/>
      <c r="L69" s="6"/>
      <c r="M69" s="79"/>
      <c r="N69" s="12"/>
    </row>
    <row r="70" spans="11:14" x14ac:dyDescent="0.2">
      <c r="K70" s="12"/>
      <c r="L70" s="6"/>
      <c r="M70" s="79"/>
      <c r="N70" s="12"/>
    </row>
    <row r="71" spans="11:14" x14ac:dyDescent="0.2">
      <c r="K71" s="12"/>
      <c r="L71" s="60"/>
      <c r="M71" s="79"/>
      <c r="N71" s="4"/>
    </row>
    <row r="72" spans="11:14" x14ac:dyDescent="0.2">
      <c r="K72" s="12"/>
      <c r="L72" s="60"/>
      <c r="M72" s="79"/>
      <c r="N72" s="4"/>
    </row>
    <row r="73" spans="11:14" x14ac:dyDescent="0.2">
      <c r="L73" s="1"/>
      <c r="M73" s="79"/>
      <c r="N73" s="4"/>
    </row>
    <row r="74" spans="11:14" x14ac:dyDescent="0.2">
      <c r="L74" s="1"/>
      <c r="M74" s="79"/>
      <c r="N74" s="4"/>
    </row>
    <row r="75" spans="11:14" x14ac:dyDescent="0.2">
      <c r="L75" s="63"/>
      <c r="M75" s="79"/>
      <c r="N75" s="4"/>
    </row>
    <row r="76" spans="11:14" x14ac:dyDescent="0.2">
      <c r="L76" s="63"/>
      <c r="M76" s="79"/>
      <c r="N76" s="4"/>
    </row>
    <row r="77" spans="11:14" x14ac:dyDescent="0.2">
      <c r="L77" s="63"/>
      <c r="M77" s="79"/>
      <c r="N77" s="4"/>
    </row>
    <row r="78" spans="11:14" x14ac:dyDescent="0.2">
      <c r="L78" s="63"/>
      <c r="M78" s="79"/>
      <c r="N78" s="4"/>
    </row>
    <row r="79" spans="11:14" x14ac:dyDescent="0.2">
      <c r="L79" s="63"/>
      <c r="M79" s="79"/>
      <c r="N79" s="4"/>
    </row>
    <row r="80" spans="11:14" x14ac:dyDescent="0.2">
      <c r="L80" s="63"/>
      <c r="M80" s="79"/>
      <c r="N80" s="4"/>
    </row>
    <row r="81" spans="12:14" x14ac:dyDescent="0.2">
      <c r="L81" s="63"/>
      <c r="M81" s="79"/>
      <c r="N81" s="4"/>
    </row>
    <row r="82" spans="12:14" x14ac:dyDescent="0.2">
      <c r="L82" s="63"/>
      <c r="M82" s="79"/>
      <c r="N82" s="4"/>
    </row>
    <row r="83" spans="12:14" x14ac:dyDescent="0.2">
      <c r="L83" s="63"/>
      <c r="M83" s="79"/>
      <c r="N83" s="4"/>
    </row>
    <row r="84" spans="12:14" x14ac:dyDescent="0.2">
      <c r="L84" s="63"/>
      <c r="M84" s="79"/>
      <c r="N84" s="4"/>
    </row>
    <row r="85" spans="12:14" x14ac:dyDescent="0.2">
      <c r="L85" s="63"/>
      <c r="M85" s="79"/>
      <c r="N85" s="4"/>
    </row>
    <row r="86" spans="12:14" x14ac:dyDescent="0.2">
      <c r="L86" s="63"/>
      <c r="M86" s="79"/>
      <c r="N86" s="4"/>
    </row>
    <row r="87" spans="12:14" x14ac:dyDescent="0.2">
      <c r="L87" s="63"/>
      <c r="M87" s="79"/>
      <c r="N87" s="4"/>
    </row>
    <row r="88" spans="12:14" x14ac:dyDescent="0.2">
      <c r="L88" s="63"/>
      <c r="M88" s="79"/>
      <c r="N88" s="4"/>
    </row>
    <row r="89" spans="12:14" x14ac:dyDescent="0.2">
      <c r="L89" s="63"/>
      <c r="M89" s="79"/>
      <c r="N89" s="4"/>
    </row>
    <row r="90" spans="12:14" x14ac:dyDescent="0.2">
      <c r="L90" s="63"/>
      <c r="M90" s="79"/>
      <c r="N90" s="4"/>
    </row>
    <row r="91" spans="12:14" x14ac:dyDescent="0.2">
      <c r="L91" s="63"/>
      <c r="M91" s="79"/>
      <c r="N91" s="4"/>
    </row>
    <row r="92" spans="12:14" x14ac:dyDescent="0.2">
      <c r="L92" s="63"/>
      <c r="M92" s="79"/>
      <c r="N92" s="4"/>
    </row>
    <row r="93" spans="12:14" x14ac:dyDescent="0.2">
      <c r="L93" s="1"/>
      <c r="M93" s="79"/>
      <c r="N93" s="4"/>
    </row>
    <row r="94" spans="12:14" x14ac:dyDescent="0.2">
      <c r="L94" s="1"/>
      <c r="M94" s="79"/>
      <c r="N94" s="4"/>
    </row>
    <row r="95" spans="12:14" x14ac:dyDescent="0.2">
      <c r="L95" s="1"/>
      <c r="M95" s="79"/>
      <c r="N95" s="4"/>
    </row>
    <row r="96" spans="12:14" x14ac:dyDescent="0.2">
      <c r="L96" s="1"/>
      <c r="M96" s="79"/>
      <c r="N96" s="4"/>
    </row>
    <row r="97" spans="12:14" x14ac:dyDescent="0.2">
      <c r="L97" s="1"/>
      <c r="M97" s="79"/>
      <c r="N97" s="4"/>
    </row>
    <row r="98" spans="12:14" x14ac:dyDescent="0.2">
      <c r="L98" s="1"/>
      <c r="M98" s="79"/>
      <c r="N98" s="4"/>
    </row>
    <row r="99" spans="12:14" x14ac:dyDescent="0.2">
      <c r="L99" s="1"/>
      <c r="M99" s="79"/>
      <c r="N99" s="4"/>
    </row>
    <row r="100" spans="12:14" x14ac:dyDescent="0.2">
      <c r="L100" s="1"/>
      <c r="M100" s="79"/>
      <c r="N100" s="4"/>
    </row>
    <row r="101" spans="12:14" x14ac:dyDescent="0.2">
      <c r="L101" s="1"/>
      <c r="M101" s="79"/>
      <c r="N101" s="4"/>
    </row>
    <row r="102" spans="12:14" x14ac:dyDescent="0.2">
      <c r="L102" s="1"/>
      <c r="M102" s="79"/>
      <c r="N102" s="4"/>
    </row>
    <row r="103" spans="12:14" x14ac:dyDescent="0.2">
      <c r="L103" s="1"/>
      <c r="M103" s="79"/>
      <c r="N103" s="4"/>
    </row>
    <row r="104" spans="12:14" x14ac:dyDescent="0.2">
      <c r="L104" s="1"/>
      <c r="M104" s="79"/>
      <c r="N104" s="4"/>
    </row>
  </sheetData>
  <autoFilter ref="A7:CB59" xr:uid="{00000000-0009-0000-0000-000001000000}"/>
  <dataConsolidate/>
  <mergeCells count="7">
    <mergeCell ref="BW1:CA1"/>
    <mergeCell ref="B2:I2"/>
    <mergeCell ref="B3:I3"/>
    <mergeCell ref="AA1:AC1"/>
    <mergeCell ref="AN1:AO1"/>
    <mergeCell ref="K3:L3"/>
    <mergeCell ref="Q1:R1"/>
  </mergeCells>
  <phoneticPr fontId="0" type="noConversion"/>
  <printOptions horizontalCentered="1" verticalCentered="1" gridLines="1"/>
  <pageMargins left="0.19685039370078741" right="0.19685039370078741" top="0.78740157480314965" bottom="0.39370078740157483" header="0.19685039370078741" footer="0"/>
  <pageSetup paperSize="8" scale="19" fitToHeight="10" orientation="landscape"/>
  <headerFooter alignWithMargins="0">
    <oddHeader>&amp;R&amp;D</oddHeader>
    <oddFooter>&amp;LGTI NOORDWEST BV&amp;RPagina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877683414ABF4C8D533D095CD88726" ma:contentTypeVersion="12" ma:contentTypeDescription="Een nieuw document maken." ma:contentTypeScope="" ma:versionID="935a6798236d6364f0c801fe65f0a8e3">
  <xsd:schema xmlns:xsd="http://www.w3.org/2001/XMLSchema" xmlns:xs="http://www.w3.org/2001/XMLSchema" xmlns:p="http://schemas.microsoft.com/office/2006/metadata/properties" xmlns:ns2="771e30b6-f91e-44a0-a0de-d6d2d9708c62" xmlns:ns3="c0b2096d-bb4a-46cb-b083-3816298b28d3" targetNamespace="http://schemas.microsoft.com/office/2006/metadata/properties" ma:root="true" ma:fieldsID="2202373b74a67458018a033a33550e32" ns2:_="" ns3:_="">
    <xsd:import namespace="771e30b6-f91e-44a0-a0de-d6d2d9708c62"/>
    <xsd:import namespace="c0b2096d-bb4a-46cb-b083-3816298b28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1e30b6-f91e-44a0-a0de-d6d2d9708c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74f9fd84-adc9-48b5-8915-afef0dbfb6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2096d-bb4a-46cb-b083-3816298b28d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c8746f-01c0-47bf-b6d4-fbd4374b60c7}" ma:internalName="TaxCatchAll" ma:showField="CatchAllData" ma:web="c0b2096d-bb4a-46cb-b083-3816298b28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b2096d-bb4a-46cb-b083-3816298b28d3" xsi:nil="true"/>
    <lcf76f155ced4ddcb4097134ff3c332f xmlns="771e30b6-f91e-44a0-a0de-d6d2d9708c6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F818E1-DF44-40D8-9549-33C4B90382C3}"/>
</file>

<file path=customXml/itemProps2.xml><?xml version="1.0" encoding="utf-8"?>
<ds:datastoreItem xmlns:ds="http://schemas.openxmlformats.org/officeDocument/2006/customXml" ds:itemID="{6E4488B8-1F25-40F1-9EAB-3BDC64532976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73a229d-4482-4b9e-885e-0ed3c8e7ef24"/>
    <ds:schemaRef ds:uri="http://www.w3.org/XML/1998/namespace"/>
    <ds:schemaRef ds:uri="http://purl.org/dc/dcmitype/"/>
    <ds:schemaRef ds:uri="43381fb4-2c64-4034-a299-62b34999252d"/>
  </ds:schemaRefs>
</ds:datastoreItem>
</file>

<file path=customXml/itemProps3.xml><?xml version="1.0" encoding="utf-8"?>
<ds:datastoreItem xmlns:ds="http://schemas.openxmlformats.org/officeDocument/2006/customXml" ds:itemID="{F4A92501-6039-4E6A-8D17-1B37437CAC7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2f063bf-ce3a-473c-8609-3866002c85b0}" enabled="1" method="Standard" siteId="{b914a242-e718-443b-a47c-6b4c649d8c0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4</vt:i4>
      </vt:variant>
    </vt:vector>
  </HeadingPairs>
  <TitlesOfParts>
    <vt:vector size="6" baseType="lpstr">
      <vt:lpstr>Apparatuurlijst</vt:lpstr>
      <vt:lpstr>Apparatuurlijst WP</vt:lpstr>
      <vt:lpstr>Apparatuurlijst!Afdrukbereik</vt:lpstr>
      <vt:lpstr>'Apparatuurlijst WP'!Afdrukbereik</vt:lpstr>
      <vt:lpstr>Apparatuurlijst!Afdruktitels</vt:lpstr>
      <vt:lpstr>'Apparatuurlijst WP'!Afdruktitels</vt:lpstr>
    </vt:vector>
  </TitlesOfParts>
  <Company>Cofely West Nederland bv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dupon</dc:creator>
  <cp:lastModifiedBy>Heumen, Pieter van</cp:lastModifiedBy>
  <cp:lastPrinted>2019-02-01T14:08:53Z</cp:lastPrinted>
  <dcterms:created xsi:type="dcterms:W3CDTF">2000-10-17T09:30:05Z</dcterms:created>
  <dcterms:modified xsi:type="dcterms:W3CDTF">2026-05-18T09:04:57Z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Apparatuurlijst Beethoven 2014-12-05 GWI.xlsx</vt:lpwstr>
  </property>
  <property fmtid="{D5CDD505-2E9C-101B-9397-08002B2CF9AE}" pid="3" name="ContentTypeId">
    <vt:lpwstr>0x0101005F877683414ABF4C8D533D095CD88726</vt:lpwstr>
  </property>
  <property fmtid="{D5CDD505-2E9C-101B-9397-08002B2CF9AE}" pid="4" name="Security Classification">
    <vt:lpwstr/>
  </property>
  <property fmtid="{D5CDD505-2E9C-101B-9397-08002B2CF9AE}" pid="5" name="AuthorIds_UIVersion_7680">
    <vt:lpwstr>308</vt:lpwstr>
  </property>
  <property fmtid="{D5CDD505-2E9C-101B-9397-08002B2CF9AE}" pid="6" name="AuthorIds_UIVersion_9216">
    <vt:lpwstr>308</vt:lpwstr>
  </property>
  <property fmtid="{D5CDD505-2E9C-101B-9397-08002B2CF9AE}" pid="7" name="AuthorIds_UIVersion_3072">
    <vt:lpwstr>308</vt:lpwstr>
  </property>
  <property fmtid="{D5CDD505-2E9C-101B-9397-08002B2CF9AE}" pid="8" name="AuthorIds_UIVersion_1024">
    <vt:lpwstr>308</vt:lpwstr>
  </property>
  <property fmtid="{D5CDD505-2E9C-101B-9397-08002B2CF9AE}" pid="9" name="xd_ProgID">
    <vt:lpwstr/>
  </property>
  <property fmtid="{D5CDD505-2E9C-101B-9397-08002B2CF9AE}" pid="10" name="SharedWithUsers">
    <vt:lpwstr/>
  </property>
  <property fmtid="{D5CDD505-2E9C-101B-9397-08002B2CF9AE}" pid="11" name="Afmeldingsstatus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Fase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GUID">
    <vt:lpwstr>5d8d82f5-8cbb-4e3c-8b50-bdaa36025348</vt:lpwstr>
  </property>
  <property fmtid="{D5CDD505-2E9C-101B-9397-08002B2CF9AE}" pid="18" name="xd_Signature">
    <vt:bool>false</vt:bool>
  </property>
  <property fmtid="{D5CDD505-2E9C-101B-9397-08002B2CF9AE}" pid="19" name="b1b820adfd3e4a078472514c1a5cb5ff">
    <vt:lpwstr/>
  </property>
  <property fmtid="{D5CDD505-2E9C-101B-9397-08002B2CF9AE}" pid="20" name="MSIP_Label_64a238cc-6af3-4341-9d32-201b7e04331f_Enabled">
    <vt:lpwstr>true</vt:lpwstr>
  </property>
  <property fmtid="{D5CDD505-2E9C-101B-9397-08002B2CF9AE}" pid="21" name="MSIP_Label_64a238cc-6af3-4341-9d32-201b7e04331f_SetDate">
    <vt:lpwstr>2022-10-13T09:56:15Z</vt:lpwstr>
  </property>
  <property fmtid="{D5CDD505-2E9C-101B-9397-08002B2CF9AE}" pid="22" name="MSIP_Label_64a238cc-6af3-4341-9d32-201b7e04331f_Method">
    <vt:lpwstr>Standard</vt:lpwstr>
  </property>
  <property fmtid="{D5CDD505-2E9C-101B-9397-08002B2CF9AE}" pid="23" name="MSIP_Label_64a238cc-6af3-4341-9d32-201b7e04331f_Name">
    <vt:lpwstr>Internal</vt:lpwstr>
  </property>
  <property fmtid="{D5CDD505-2E9C-101B-9397-08002B2CF9AE}" pid="24" name="MSIP_Label_64a238cc-6af3-4341-9d32-201b7e04331f_SiteId">
    <vt:lpwstr>09ebfde1-6505-4c31-942f-18875ff0189d</vt:lpwstr>
  </property>
  <property fmtid="{D5CDD505-2E9C-101B-9397-08002B2CF9AE}" pid="25" name="MSIP_Label_64a238cc-6af3-4341-9d32-201b7e04331f_ActionId">
    <vt:lpwstr>4c4899f6-89ac-4480-b93e-17bbc704a6d8</vt:lpwstr>
  </property>
  <property fmtid="{D5CDD505-2E9C-101B-9397-08002B2CF9AE}" pid="26" name="MSIP_Label_64a238cc-6af3-4341-9d32-201b7e04331f_ContentBits">
    <vt:lpwstr>0</vt:lpwstr>
  </property>
  <property fmtid="{D5CDD505-2E9C-101B-9397-08002B2CF9AE}" pid="27" name="MediaServiceImageTags">
    <vt:lpwstr/>
  </property>
</Properties>
</file>