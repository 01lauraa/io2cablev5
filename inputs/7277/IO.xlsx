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ppenbrouwers.sharepoint.com/sites/PRJ.2605577/Gedeelde documenten/02 Calculatie/02 Ontwerpgegevens calculatie/02 Ontwerp Werktuigbouw/01 Tellijsten/"/>
    </mc:Choice>
  </mc:AlternateContent>
  <xr:revisionPtr revIDLastSave="0" documentId="8_{0E6EEE8A-F6B4-4E0F-A9D2-26E5C552DBFB}" xr6:coauthVersionLast="47" xr6:coauthVersionMax="47" xr10:uidLastSave="{00000000-0000-0000-0000-000000000000}"/>
  <bookViews>
    <workbookView xWindow="-120" yWindow="-120" windowWidth="29040" windowHeight="15720" tabRatio="715" xr2:uid="{00000000-000D-0000-FFFF-FFFF00000000}"/>
  </bookViews>
  <sheets>
    <sheet name="RK1" sheetId="5" r:id="rId1"/>
    <sheet name="Naregelingen" sheetId="4" r:id="rId2"/>
    <sheet name="E-voorzieningen" sheetId="3" r:id="rId3"/>
  </sheets>
  <definedNames>
    <definedName name="_xlnm.Print_Area" localSheetId="2">'E-voorzieningen'!$A$1:$Y$57</definedName>
    <definedName name="_xlnm.Print_Area" localSheetId="0">'RK1'!$A$1:$R$272</definedName>
    <definedName name="_xlnm.Print_Titles" localSheetId="0">'RK1'!$1:$21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3" l="1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17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J244" i="5"/>
  <c r="I244" i="5"/>
  <c r="H244" i="5"/>
  <c r="H245" i="5" s="1"/>
  <c r="G244" i="5"/>
  <c r="G245" i="5" s="1"/>
  <c r="F244" i="5"/>
  <c r="F245" i="5" s="1"/>
  <c r="E244" i="5"/>
  <c r="E245" i="5" s="1"/>
  <c r="D244" i="5"/>
  <c r="D245" i="5" s="1"/>
  <c r="N20" i="3"/>
  <c r="C11" i="3" l="1"/>
  <c r="C10" i="3"/>
  <c r="C8" i="3"/>
  <c r="C7" i="3"/>
  <c r="B10" i="4"/>
  <c r="D246" i="5"/>
  <c r="E246" i="5"/>
  <c r="G246" i="5"/>
  <c r="H246" i="5"/>
  <c r="I245" i="5"/>
  <c r="I246" i="5" s="1"/>
  <c r="K246" i="5"/>
  <c r="K247" i="5" s="1"/>
  <c r="K248" i="5" s="1"/>
  <c r="N246" i="5"/>
  <c r="AJ26" i="4"/>
  <c r="AK26" i="4"/>
  <c r="AL26" i="4"/>
  <c r="AI26" i="4"/>
  <c r="AA26" i="4"/>
  <c r="AB26" i="4"/>
  <c r="AC26" i="4"/>
  <c r="AD26" i="4"/>
  <c r="AE26" i="4"/>
  <c r="AF26" i="4"/>
  <c r="AG26" i="4"/>
  <c r="Z26" i="4"/>
  <c r="E26" i="4"/>
  <c r="F26" i="4"/>
  <c r="G26" i="4"/>
  <c r="H26" i="4"/>
  <c r="I26" i="4"/>
  <c r="J26" i="4"/>
  <c r="K26" i="4"/>
  <c r="L26" i="4"/>
  <c r="M26" i="4"/>
  <c r="D26" i="4"/>
  <c r="T35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19" i="3"/>
  <c r="P19" i="3" s="1"/>
  <c r="N18" i="3"/>
  <c r="P18" i="3" s="1"/>
  <c r="P17" i="3"/>
  <c r="T16" i="3"/>
  <c r="F246" i="5" l="1"/>
  <c r="J245" i="5"/>
  <c r="J246" i="5" s="1"/>
  <c r="P16" i="3" l="1"/>
  <c r="N36" i="3"/>
  <c r="N37" i="3" l="1"/>
  <c r="N38" i="3" s="1"/>
</calcChain>
</file>

<file path=xl/sharedStrings.xml><?xml version="1.0" encoding="utf-8"?>
<sst xmlns="http://schemas.openxmlformats.org/spreadsheetml/2006/main" count="1587" uniqueCount="229">
  <si>
    <t xml:space="preserve"> Hoppenbrouwers Techniek BV</t>
  </si>
  <si>
    <t xml:space="preserve"> Kreitemolenstraat 201</t>
  </si>
  <si>
    <t xml:space="preserve"> 5071 ND Udenhout</t>
  </si>
  <si>
    <t xml:space="preserve"> T: 013 5117227</t>
  </si>
  <si>
    <t xml:space="preserve"> F: 013 5114145</t>
  </si>
  <si>
    <t>Project:</t>
  </si>
  <si>
    <t>Omschrijving</t>
  </si>
  <si>
    <t>Projectnummer:</t>
  </si>
  <si>
    <t>Opgesteld:</t>
  </si>
  <si>
    <t>J. Denissen</t>
  </si>
  <si>
    <t>Status:</t>
  </si>
  <si>
    <t>Calculatie/Ontwerp</t>
  </si>
  <si>
    <t>Datum:</t>
  </si>
  <si>
    <t>Regelkast:</t>
  </si>
  <si>
    <t>Bedrijfmelding</t>
  </si>
  <si>
    <t>Storingsmelding</t>
  </si>
  <si>
    <t>Analoge ingang</t>
  </si>
  <si>
    <t>Digitale uitgang</t>
  </si>
  <si>
    <t>Analoge uitgang</t>
  </si>
  <si>
    <t>Verzend waarde</t>
  </si>
  <si>
    <t>Ontvang waarde</t>
  </si>
  <si>
    <t>P
[kW]</t>
  </si>
  <si>
    <t>I
[A]</t>
  </si>
  <si>
    <t>U
[V]</t>
  </si>
  <si>
    <t>Sturen</t>
  </si>
  <si>
    <t>Meten</t>
  </si>
  <si>
    <t>Fabricaat</t>
  </si>
  <si>
    <t>Type</t>
  </si>
  <si>
    <t>Document nr:</t>
  </si>
  <si>
    <t>Bladnummer:</t>
  </si>
  <si>
    <t>Bestek</t>
  </si>
  <si>
    <t>Preferent 2</t>
  </si>
  <si>
    <t>I/O check</t>
  </si>
  <si>
    <t>Proces code</t>
  </si>
  <si>
    <t>B</t>
  </si>
  <si>
    <t>ST</t>
  </si>
  <si>
    <t>AI</t>
  </si>
  <si>
    <t>I/O</t>
  </si>
  <si>
    <t>AU</t>
  </si>
  <si>
    <t>VW</t>
  </si>
  <si>
    <t>OW</t>
  </si>
  <si>
    <t>Algemeen</t>
  </si>
  <si>
    <t>-</t>
  </si>
  <si>
    <t xml:space="preserve">Warmtepomp. </t>
  </si>
  <si>
    <t>Hopp-E</t>
  </si>
  <si>
    <t>Warmtepomp. Vrijgave</t>
  </si>
  <si>
    <t>Warmtepomp. Storing</t>
  </si>
  <si>
    <t>Warmtepomp. Vermogen sturing</t>
  </si>
  <si>
    <t>Tracing. Vrijgave</t>
  </si>
  <si>
    <t>Tracing. Storing</t>
  </si>
  <si>
    <t>DN80</t>
  </si>
  <si>
    <t>Warmte distributie</t>
  </si>
  <si>
    <t>M-bus</t>
  </si>
  <si>
    <t>Buffertemperatuur laag</t>
  </si>
  <si>
    <t>Siemens</t>
  </si>
  <si>
    <t>Buffertemperatuur hoog</t>
  </si>
  <si>
    <t>Koude distributie</t>
  </si>
  <si>
    <t>Circultiepomp. Vrijgave</t>
  </si>
  <si>
    <t>Grundfos</t>
  </si>
  <si>
    <t>Magna3 XX-XX</t>
  </si>
  <si>
    <t>Circulatiepomp. Storing</t>
  </si>
  <si>
    <t>Aanvoer temperatuur</t>
  </si>
  <si>
    <t>QAE3174D.010</t>
  </si>
  <si>
    <t>Retour temperatuur</t>
  </si>
  <si>
    <t>3-weg  klep</t>
  </si>
  <si>
    <t>KVS: 10</t>
  </si>
  <si>
    <t>KVS: 6,3</t>
  </si>
  <si>
    <t>3-weg omschakelklep</t>
  </si>
  <si>
    <t>KVS: 50</t>
  </si>
  <si>
    <t>GKW Inductie units</t>
  </si>
  <si>
    <t>GKW LBK kantoor</t>
  </si>
  <si>
    <t>Drinkwater</t>
  </si>
  <si>
    <t>Subtotaal</t>
  </si>
  <si>
    <t>Reserve I/O 10%</t>
  </si>
  <si>
    <t>Totaal</t>
  </si>
  <si>
    <t>+ 10 % =</t>
  </si>
  <si>
    <t>Totaal =</t>
  </si>
  <si>
    <t>Paraferingsoverzicht</t>
  </si>
  <si>
    <t>Nr:</t>
  </si>
  <si>
    <t>Naam</t>
  </si>
  <si>
    <t>Firma</t>
  </si>
  <si>
    <t>Datum</t>
  </si>
  <si>
    <t>Opmerkingen</t>
  </si>
  <si>
    <t>Lokaal/ruimte nr.</t>
  </si>
  <si>
    <t>Naregelaar benaming</t>
  </si>
  <si>
    <t>modulen</t>
  </si>
  <si>
    <t>2-weg klep CV 0 - 10 V - DN15</t>
  </si>
  <si>
    <t>2-weg klep CV 0 - 10 V - DN20</t>
  </si>
  <si>
    <t>2-weg klep CV 0 - 10 V - DN25</t>
  </si>
  <si>
    <t>VAV klep Toevoer</t>
  </si>
  <si>
    <t>VAV Retour</t>
  </si>
  <si>
    <t>E- kanaal verwarmer 0 - 10 V</t>
  </si>
  <si>
    <t>2-weg klep GWK 0 - 10 V - DN25</t>
  </si>
  <si>
    <t>FCU ventilator stand 0 - 10 V</t>
  </si>
  <si>
    <t>Change over koelklep</t>
  </si>
  <si>
    <t>Aanvullende digitale uitgang gebruikt</t>
  </si>
  <si>
    <t>Aanvullende meting gebruikt</t>
  </si>
  <si>
    <t>Opmerking(en)</t>
  </si>
  <si>
    <t>Serie nr.</t>
  </si>
  <si>
    <t>OS nr.</t>
  </si>
  <si>
    <t xml:space="preserve">Opmerking(en) </t>
  </si>
  <si>
    <t>Naregeling type v.b. schema</t>
  </si>
  <si>
    <t>Opmerking</t>
  </si>
  <si>
    <t>Voedingen</t>
  </si>
  <si>
    <t>Nummer</t>
  </si>
  <si>
    <t>Locatie</t>
  </si>
  <si>
    <t>Pw
[kW]</t>
  </si>
  <si>
    <t>Ps
[kVa]</t>
  </si>
  <si>
    <t>Gelijk-tijdigheid [%]</t>
  </si>
  <si>
    <t>Ptot
[kVa]</t>
  </si>
  <si>
    <t>Aanbevolen automaat [A]</t>
  </si>
  <si>
    <t>Kortsluit-stroom [kA]</t>
  </si>
  <si>
    <t>Karakteristiek</t>
  </si>
  <si>
    <t>Incl. Nuldraad</t>
  </si>
  <si>
    <t>kWh-meter</t>
  </si>
  <si>
    <t>Verdeler</t>
  </si>
  <si>
    <t>Groep</t>
  </si>
  <si>
    <t>Kabel diameter</t>
  </si>
  <si>
    <t>Schijnbaar vermogen</t>
  </si>
  <si>
    <t>kVa</t>
  </si>
  <si>
    <t>Gemiddelde gelijktijdigheid</t>
  </si>
  <si>
    <t>Totaal vermogen</t>
  </si>
  <si>
    <t>Voorzieningen</t>
  </si>
  <si>
    <t>Aantal</t>
  </si>
  <si>
    <t>Brandmeldcontact</t>
  </si>
  <si>
    <t>Loze voorziening t.b.v. thermostaat</t>
  </si>
  <si>
    <t>Buitentemperatuuropnemer</t>
  </si>
  <si>
    <t>Verzamel storingsmelding urgent (front deur)</t>
  </si>
  <si>
    <t xml:space="preserve">Verzamel storingsmelding niet-urgent (front deur) </t>
  </si>
  <si>
    <t xml:space="preserve">Reset storingsmelding (drukknop op front) </t>
  </si>
  <si>
    <t>Brandmelding Brandmeldcentrale (levering E-installateur)</t>
  </si>
  <si>
    <t xml:space="preserve">Signalering Brandsituatie (front deur) </t>
  </si>
  <si>
    <t>Brandschakelaar toevoer (brandpaneel levering E-installateur)</t>
  </si>
  <si>
    <t>Brandschakelaar afvoer (brandpaneel levering E-installateur)</t>
  </si>
  <si>
    <t xml:space="preserve">Signalering brandklep (verzameld) </t>
  </si>
  <si>
    <t>Warmtepomp 1</t>
  </si>
  <si>
    <t>3-weg afsluiter</t>
  </si>
  <si>
    <t>QAE2120.010</t>
  </si>
  <si>
    <t>VXF22.80-100 - DN80</t>
  </si>
  <si>
    <t>Modbus-RTU</t>
  </si>
  <si>
    <t>Warmtepomp 2</t>
  </si>
  <si>
    <t>Warmtepomp 3</t>
  </si>
  <si>
    <t>Warmtepomp 4</t>
  </si>
  <si>
    <t>Warmtepomp change-over</t>
  </si>
  <si>
    <t>Energiemeter</t>
  </si>
  <si>
    <t>Bacnet MS/TP</t>
  </si>
  <si>
    <t>Regelafsluiter aanvoer CV</t>
  </si>
  <si>
    <t xml:space="preserve">Regelafsluiter retour CV </t>
  </si>
  <si>
    <t>Regelafsluiter aanvoer GKW</t>
  </si>
  <si>
    <t xml:space="preserve">Regelafsluiter retour GKW </t>
  </si>
  <si>
    <t>SAL81.03T10/F05 - DN80</t>
  </si>
  <si>
    <t>TF65 NI1000TK 400mm</t>
  </si>
  <si>
    <t>Vedotec</t>
  </si>
  <si>
    <t>Circultiepomp. Sturing</t>
  </si>
  <si>
    <t>Systeemdrukopnemer</t>
  </si>
  <si>
    <t>Ontgasser</t>
  </si>
  <si>
    <t>QBE2003-P6</t>
  </si>
  <si>
    <t>Change-over groep naverwarmers</t>
  </si>
  <si>
    <t>Vlinderklep aanvoer CV</t>
  </si>
  <si>
    <t>Vlinderklep retour CV</t>
  </si>
  <si>
    <t>Vlinderklep aanvoer GKW</t>
  </si>
  <si>
    <t xml:space="preserve">Vlinderklep retour GKW </t>
  </si>
  <si>
    <t>CV / GKW-groep naverwarming/-koeling bouwdeel B+D</t>
  </si>
  <si>
    <t xml:space="preserve">Regelafsluiter </t>
  </si>
  <si>
    <t>VVF22.50-40 - DN50</t>
  </si>
  <si>
    <t>CV / GKW-groep naverwarming/-koeling bouwdeel P+G</t>
  </si>
  <si>
    <t>CV / GKW-groep naverwarming/-koeling bouwdeel S</t>
  </si>
  <si>
    <t>LBK bouwdeel B+D</t>
  </si>
  <si>
    <t>Buitenluchtaanzuigklep</t>
  </si>
  <si>
    <t>Filterbewaking</t>
  </si>
  <si>
    <t>Temperatuur na WTW</t>
  </si>
  <si>
    <t>Circulatiepomp. Vrijgave</t>
  </si>
  <si>
    <t>Vorstthermostaat</t>
  </si>
  <si>
    <t>Toevoerventilator. Vrijgave</t>
  </si>
  <si>
    <t>Toevoerventilator. Storing</t>
  </si>
  <si>
    <t>Toevoerventilator. Sturing</t>
  </si>
  <si>
    <t>Retourventilator. Vrijgave</t>
  </si>
  <si>
    <t>Retourventilator. Storing</t>
  </si>
  <si>
    <t>Retourventilator. Sturing</t>
  </si>
  <si>
    <t>GCA126.1E</t>
  </si>
  <si>
    <t xml:space="preserve">QBM2030-5 </t>
  </si>
  <si>
    <t xml:space="preserve">QAM2120.040 </t>
  </si>
  <si>
    <t>Luchtklepservomotor bypass</t>
  </si>
  <si>
    <t xml:space="preserve">GBB161.1E </t>
  </si>
  <si>
    <t xml:space="preserve">Regelafsluiter voorverwarmer </t>
  </si>
  <si>
    <t>SAX61.03</t>
  </si>
  <si>
    <t xml:space="preserve">QAF81.6 </t>
  </si>
  <si>
    <t>Aanvoer temperatuur voorverwarmer</t>
  </si>
  <si>
    <t>Retour temperatuur voorverwarmer</t>
  </si>
  <si>
    <t>Drukopnemer toevoerkanaal</t>
  </si>
  <si>
    <t>Drukopnemer retourkanaal</t>
  </si>
  <si>
    <t>Kanaaltemperatuur inblaas</t>
  </si>
  <si>
    <t>Kanaaltemperatuur retour</t>
  </si>
  <si>
    <t>QAM2120.040</t>
  </si>
  <si>
    <t>Buitenluchtafblaasklep</t>
  </si>
  <si>
    <t>LBK bouwdeel P+G</t>
  </si>
  <si>
    <t>Batterij LBK S (bekabelen naar eigen regeling LBK)</t>
  </si>
  <si>
    <t xml:space="preserve">Circulatiepomp (voorzien van geïntegreerde regelaar) </t>
  </si>
  <si>
    <t>Opnemers buiten LBK S (bekabelen naar eigen regeling LBK)</t>
  </si>
  <si>
    <t>VRF-installatie gymzaal</t>
  </si>
  <si>
    <t>VRF warmtepomp unit</t>
  </si>
  <si>
    <t>VRF binnenunit 1</t>
  </si>
  <si>
    <t>VRF binnenunit 2</t>
  </si>
  <si>
    <t xml:space="preserve">Hoofdwatermeter </t>
  </si>
  <si>
    <t>Watermeter bouwdeel B</t>
  </si>
  <si>
    <t>Watermeter bouwdeel D</t>
  </si>
  <si>
    <t>Watermeter bouwdeel P</t>
  </si>
  <si>
    <t>Watermeter bouwdeel G</t>
  </si>
  <si>
    <t>Watermeter bouwdeel S</t>
  </si>
  <si>
    <t>Douche installatie</t>
  </si>
  <si>
    <t>Datakoppeling RADA</t>
  </si>
  <si>
    <t>E-voorzieningen</t>
  </si>
  <si>
    <t>kWh-meters (12 stuks)</t>
  </si>
  <si>
    <t>RADA bewegingssensoren (5 stuks, 1 per doucheruimte, bekabelen naar RADA Outlook sensorbox)</t>
  </si>
  <si>
    <t>Kindcentrum Chaam</t>
  </si>
  <si>
    <t>S. Timmermans</t>
  </si>
  <si>
    <t>Sven Timmermans</t>
  </si>
  <si>
    <t>Typical VAV + Naverwarmer</t>
  </si>
  <si>
    <t>Priva Comforte CX2 naregelaar</t>
  </si>
  <si>
    <t>Touchpoint One</t>
  </si>
  <si>
    <t>Voedingmodule 230V</t>
  </si>
  <si>
    <t>Typical VAV + naverwarmer + vloerverwarming</t>
  </si>
  <si>
    <t>Vrijgave vloerverwarming</t>
  </si>
  <si>
    <t>Typical VAV + naverwarmer + plenum retour</t>
  </si>
  <si>
    <t>Analoge-uitgangsmodule</t>
  </si>
  <si>
    <t>Typical CAV + naverwarmer</t>
  </si>
  <si>
    <t>Typical vloerverwarmingsverdeler (max. 3 groepen)</t>
  </si>
  <si>
    <t>OFTF Ni1000 TK5000</t>
  </si>
  <si>
    <t>Typical gymzaal middels VRF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</si>
</sst>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\ \k\W"/>
    <numFmt numFmtId="165" formatCode="[$-413]d\ mmmm\ yyyy;@"/>
    <numFmt numFmtId="166" formatCode="0.0"/>
    <numFmt numFmtId="167" formatCode="0.0;\-0.0;;@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8DB4E2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auto="1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thin">
        <color auto="1"/>
      </right>
      <top/>
      <bottom style="thin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6" fillId="0" borderId="0"/>
    <xf numFmtId="0" fontId="2" fillId="0" borderId="0"/>
    <xf numFmtId="9" fontId="2" fillId="0" borderId="0" applyFont="0" applyFill="0" applyBorder="0" applyAlignment="0" applyProtection="0"/>
    <xf numFmtId="0" fontId="7" fillId="0" borderId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361">
    <xf numFmtId="0" fontId="0" fillId="0" borderId="0" xfId="0"/>
    <xf numFmtId="0" fontId="4" fillId="0" borderId="0" xfId="0" applyFont="1"/>
    <xf numFmtId="0" fontId="3" fillId="0" borderId="0" xfId="0" applyFont="1"/>
    <xf numFmtId="0" fontId="3" fillId="0" borderId="1" xfId="5" applyFont="1" applyBorder="1" applyAlignment="1">
      <alignment horizontal="left" vertical="center"/>
    </xf>
    <xf numFmtId="0" fontId="4" fillId="0" borderId="45" xfId="5" applyFont="1" applyBorder="1" applyProtection="1">
      <protection locked="0"/>
    </xf>
    <xf numFmtId="0" fontId="3" fillId="0" borderId="7" xfId="5" applyFont="1" applyBorder="1"/>
    <xf numFmtId="0" fontId="9" fillId="0" borderId="0" xfId="2" applyFont="1" applyAlignment="1" applyProtection="1">
      <alignment horizontal="left"/>
      <protection locked="0"/>
    </xf>
    <xf numFmtId="0" fontId="9" fillId="0" borderId="0" xfId="2" applyFont="1" applyProtection="1">
      <protection locked="0"/>
    </xf>
    <xf numFmtId="0" fontId="8" fillId="0" borderId="0" xfId="2" applyFont="1" applyAlignment="1" applyProtection="1">
      <alignment horizontal="left"/>
      <protection locked="0"/>
    </xf>
    <xf numFmtId="14" fontId="9" fillId="0" borderId="0" xfId="2" applyNumberFormat="1" applyFont="1" applyAlignment="1" applyProtection="1">
      <alignment horizontal="left"/>
      <protection locked="0"/>
    </xf>
    <xf numFmtId="0" fontId="3" fillId="6" borderId="53" xfId="4" applyFont="1" applyFill="1" applyBorder="1" applyAlignment="1">
      <alignment horizontal="center"/>
    </xf>
    <xf numFmtId="0" fontId="3" fillId="6" borderId="54" xfId="4" applyFont="1" applyFill="1" applyBorder="1" applyAlignment="1">
      <alignment horizontal="center"/>
    </xf>
    <xf numFmtId="0" fontId="3" fillId="6" borderId="56" xfId="4" applyFont="1" applyFill="1" applyBorder="1" applyAlignment="1">
      <alignment horizontal="center"/>
    </xf>
    <xf numFmtId="0" fontId="3" fillId="6" borderId="59" xfId="4" applyFont="1" applyFill="1" applyBorder="1"/>
    <xf numFmtId="0" fontId="3" fillId="6" borderId="59" xfId="4" applyFont="1" applyFill="1" applyBorder="1" applyAlignment="1">
      <alignment horizontal="center"/>
    </xf>
    <xf numFmtId="0" fontId="3" fillId="0" borderId="0" xfId="0" applyFont="1" applyAlignment="1">
      <alignment textRotation="79"/>
    </xf>
    <xf numFmtId="0" fontId="4" fillId="0" borderId="26" xfId="4" applyFont="1" applyBorder="1"/>
    <xf numFmtId="0" fontId="4" fillId="0" borderId="1" xfId="4" applyFont="1" applyBorder="1" applyAlignment="1">
      <alignment horizontal="center"/>
    </xf>
    <xf numFmtId="0" fontId="4" fillId="0" borderId="5" xfId="4" applyFont="1" applyBorder="1"/>
    <xf numFmtId="0" fontId="4" fillId="0" borderId="26" xfId="4" applyFont="1" applyBorder="1" applyAlignment="1">
      <alignment horizontal="center"/>
    </xf>
    <xf numFmtId="0" fontId="4" fillId="0" borderId="27" xfId="4" applyFont="1" applyBorder="1" applyAlignment="1">
      <alignment horizontal="center"/>
    </xf>
    <xf numFmtId="0" fontId="4" fillId="7" borderId="26" xfId="0" applyFont="1" applyFill="1" applyBorder="1" applyAlignment="1">
      <alignment horizontal="center"/>
    </xf>
    <xf numFmtId="0" fontId="4" fillId="0" borderId="1" xfId="4" applyFont="1" applyBorder="1"/>
    <xf numFmtId="0" fontId="4" fillId="0" borderId="27" xfId="4" applyFont="1" applyBorder="1"/>
    <xf numFmtId="0" fontId="4" fillId="0" borderId="6" xfId="4" applyFont="1" applyBorder="1"/>
    <xf numFmtId="0" fontId="9" fillId="0" borderId="1" xfId="4" applyFont="1" applyBorder="1" applyAlignment="1">
      <alignment horizontal="center"/>
    </xf>
    <xf numFmtId="0" fontId="4" fillId="0" borderId="61" xfId="0" applyFont="1" applyBorder="1"/>
    <xf numFmtId="0" fontId="4" fillId="0" borderId="35" xfId="0" applyFont="1" applyBorder="1" applyAlignment="1">
      <alignment horizontal="center"/>
    </xf>
    <xf numFmtId="0" fontId="4" fillId="0" borderId="62" xfId="0" applyFont="1" applyBorder="1"/>
    <xf numFmtId="0" fontId="4" fillId="0" borderId="63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35" xfId="0" applyFont="1" applyBorder="1"/>
    <xf numFmtId="0" fontId="4" fillId="0" borderId="64" xfId="0" applyFont="1" applyBorder="1"/>
    <xf numFmtId="0" fontId="4" fillId="0" borderId="64" xfId="0" applyFont="1" applyBorder="1" applyAlignment="1">
      <alignment horizontal="center"/>
    </xf>
    <xf numFmtId="0" fontId="8" fillId="6" borderId="11" xfId="2" applyFont="1" applyFill="1" applyBorder="1" applyAlignment="1" applyProtection="1">
      <alignment horizontal="center" vertical="center"/>
      <protection locked="0"/>
    </xf>
    <xf numFmtId="0" fontId="8" fillId="6" borderId="15" xfId="2" applyFont="1" applyFill="1" applyBorder="1" applyAlignment="1" applyProtection="1">
      <alignment horizontal="center" vertical="center"/>
      <protection locked="0"/>
    </xf>
    <xf numFmtId="0" fontId="8" fillId="6" borderId="12" xfId="2" applyFont="1" applyFill="1" applyBorder="1" applyAlignment="1" applyProtection="1">
      <alignment horizontal="center" vertical="center" wrapText="1"/>
      <protection locked="0"/>
    </xf>
    <xf numFmtId="0" fontId="8" fillId="6" borderId="13" xfId="2" applyFont="1" applyFill="1" applyBorder="1" applyAlignment="1" applyProtection="1">
      <alignment horizontal="center" vertical="center" wrapText="1"/>
      <protection locked="0"/>
    </xf>
    <xf numFmtId="0" fontId="8" fillId="6" borderId="14" xfId="2" applyFont="1" applyFill="1" applyBorder="1" applyAlignment="1" applyProtection="1">
      <alignment horizontal="center" vertical="center" wrapText="1"/>
      <protection locked="0"/>
    </xf>
    <xf numFmtId="0" fontId="8" fillId="6" borderId="16" xfId="2" applyFont="1" applyFill="1" applyBorder="1" applyAlignment="1" applyProtection="1">
      <alignment horizontal="center" vertical="center"/>
      <protection locked="0"/>
    </xf>
    <xf numFmtId="0" fontId="9" fillId="0" borderId="0" xfId="2" applyFont="1" applyAlignment="1" applyProtection="1">
      <alignment horizontal="center" vertical="center"/>
      <protection locked="0"/>
    </xf>
    <xf numFmtId="0" fontId="8" fillId="0" borderId="17" xfId="2" applyFont="1" applyBorder="1" applyAlignment="1" applyProtection="1">
      <alignment horizontal="center" vertical="center"/>
      <protection locked="0"/>
    </xf>
    <xf numFmtId="0" fontId="9" fillId="0" borderId="20" xfId="2" applyFont="1" applyBorder="1" applyProtection="1">
      <protection locked="0"/>
    </xf>
    <xf numFmtId="0" fontId="9" fillId="0" borderId="18" xfId="2" applyFont="1" applyBorder="1" applyAlignment="1" applyProtection="1">
      <alignment vertical="center"/>
      <protection locked="0"/>
    </xf>
    <xf numFmtId="166" fontId="9" fillId="0" borderId="10" xfId="2" applyNumberFormat="1" applyFont="1" applyBorder="1" applyAlignment="1" applyProtection="1">
      <alignment vertical="center"/>
      <protection locked="0"/>
    </xf>
    <xf numFmtId="167" fontId="9" fillId="0" borderId="10" xfId="2" applyNumberFormat="1" applyFont="1" applyBorder="1" applyAlignment="1" applyProtection="1">
      <alignment vertical="center"/>
      <protection locked="0"/>
    </xf>
    <xf numFmtId="167" fontId="9" fillId="0" borderId="19" xfId="2" applyNumberFormat="1" applyFont="1" applyBorder="1" applyAlignment="1">
      <alignment vertical="center"/>
    </xf>
    <xf numFmtId="167" fontId="9" fillId="0" borderId="22" xfId="2" applyNumberFormat="1" applyFont="1" applyBorder="1"/>
    <xf numFmtId="0" fontId="9" fillId="0" borderId="22" xfId="2" applyFont="1" applyBorder="1" applyProtection="1">
      <protection locked="0"/>
    </xf>
    <xf numFmtId="0" fontId="9" fillId="0" borderId="22" xfId="2" applyFont="1" applyBorder="1" applyAlignment="1" applyProtection="1">
      <alignment horizontal="right"/>
      <protection locked="0"/>
    </xf>
    <xf numFmtId="0" fontId="9" fillId="0" borderId="23" xfId="2" applyFont="1" applyBorder="1" applyProtection="1">
      <protection locked="0"/>
    </xf>
    <xf numFmtId="0" fontId="9" fillId="0" borderId="18" xfId="2" applyFont="1" applyBorder="1" applyProtection="1">
      <protection locked="0"/>
    </xf>
    <xf numFmtId="0" fontId="9" fillId="0" borderId="10" xfId="2" applyFont="1" applyBorder="1" applyProtection="1">
      <protection locked="0"/>
    </xf>
    <xf numFmtId="0" fontId="9" fillId="0" borderId="19" xfId="2" applyFont="1" applyBorder="1" applyProtection="1">
      <protection locked="0"/>
    </xf>
    <xf numFmtId="0" fontId="9" fillId="0" borderId="24" xfId="2" applyFont="1" applyBorder="1" applyProtection="1">
      <protection locked="0"/>
    </xf>
    <xf numFmtId="0" fontId="8" fillId="0" borderId="25" xfId="2" applyFont="1" applyBorder="1" applyAlignment="1" applyProtection="1">
      <alignment horizontal="center" vertical="center"/>
      <protection locked="0"/>
    </xf>
    <xf numFmtId="0" fontId="9" fillId="0" borderId="28" xfId="2" applyFont="1" applyBorder="1" applyProtection="1">
      <protection locked="0"/>
    </xf>
    <xf numFmtId="0" fontId="9" fillId="0" borderId="26" xfId="2" applyFont="1" applyBorder="1" applyAlignment="1" applyProtection="1">
      <alignment vertical="center"/>
      <protection locked="0"/>
    </xf>
    <xf numFmtId="0" fontId="9" fillId="0" borderId="1" xfId="2" applyFont="1" applyBorder="1" applyAlignment="1" applyProtection="1">
      <alignment vertical="center"/>
      <protection locked="0"/>
    </xf>
    <xf numFmtId="166" fontId="9" fillId="0" borderId="1" xfId="2" applyNumberFormat="1" applyFont="1" applyBorder="1" applyAlignment="1" applyProtection="1">
      <alignment vertical="center"/>
      <protection locked="0"/>
    </xf>
    <xf numFmtId="167" fontId="9" fillId="0" borderId="27" xfId="2" applyNumberFormat="1" applyFont="1" applyBorder="1" applyAlignment="1">
      <alignment vertical="center"/>
    </xf>
    <xf numFmtId="167" fontId="9" fillId="0" borderId="1" xfId="2" applyNumberFormat="1" applyFont="1" applyBorder="1"/>
    <xf numFmtId="0" fontId="9" fillId="0" borderId="1" xfId="2" applyFont="1" applyBorder="1" applyProtection="1">
      <protection locked="0"/>
    </xf>
    <xf numFmtId="0" fontId="9" fillId="0" borderId="10" xfId="2" applyFont="1" applyBorder="1" applyAlignment="1" applyProtection="1">
      <alignment horizontal="right"/>
      <protection locked="0"/>
    </xf>
    <xf numFmtId="0" fontId="9" fillId="0" borderId="27" xfId="2" applyFont="1" applyBorder="1" applyProtection="1">
      <protection locked="0"/>
    </xf>
    <xf numFmtId="0" fontId="9" fillId="0" borderId="26" xfId="2" applyFont="1" applyBorder="1" applyProtection="1">
      <protection locked="0"/>
    </xf>
    <xf numFmtId="0" fontId="9" fillId="0" borderId="29" xfId="2" applyFont="1" applyBorder="1" applyProtection="1">
      <protection locked="0"/>
    </xf>
    <xf numFmtId="0" fontId="8" fillId="0" borderId="30" xfId="2" applyFont="1" applyBorder="1" applyAlignment="1" applyProtection="1">
      <alignment horizontal="center" vertical="center"/>
      <protection locked="0"/>
    </xf>
    <xf numFmtId="0" fontId="9" fillId="0" borderId="34" xfId="2" applyFont="1" applyBorder="1" applyProtection="1">
      <protection locked="0"/>
    </xf>
    <xf numFmtId="0" fontId="9" fillId="0" borderId="31" xfId="2" applyFont="1" applyBorder="1" applyAlignment="1" applyProtection="1">
      <alignment vertical="center"/>
      <protection locked="0"/>
    </xf>
    <xf numFmtId="0" fontId="9" fillId="0" borderId="32" xfId="2" applyFont="1" applyBorder="1" applyAlignment="1" applyProtection="1">
      <alignment vertical="center"/>
      <protection locked="0"/>
    </xf>
    <xf numFmtId="166" fontId="9" fillId="0" borderId="32" xfId="2" applyNumberFormat="1" applyFont="1" applyBorder="1" applyAlignment="1" applyProtection="1">
      <alignment vertical="center"/>
      <protection locked="0"/>
    </xf>
    <xf numFmtId="167" fontId="9" fillId="0" borderId="33" xfId="2" applyNumberFormat="1" applyFont="1" applyBorder="1" applyAlignment="1">
      <alignment vertical="center"/>
    </xf>
    <xf numFmtId="167" fontId="9" fillId="0" borderId="32" xfId="2" applyNumberFormat="1" applyFont="1" applyBorder="1"/>
    <xf numFmtId="0" fontId="9" fillId="0" borderId="32" xfId="2" applyFont="1" applyBorder="1" applyProtection="1">
      <protection locked="0"/>
    </xf>
    <xf numFmtId="0" fontId="9" fillId="0" borderId="35" xfId="2" applyFont="1" applyBorder="1" applyAlignment="1" applyProtection="1">
      <alignment horizontal="right"/>
      <protection locked="0"/>
    </xf>
    <xf numFmtId="0" fontId="9" fillId="0" borderId="33" xfId="2" applyFont="1" applyBorder="1" applyProtection="1">
      <protection locked="0"/>
    </xf>
    <xf numFmtId="0" fontId="9" fillId="0" borderId="31" xfId="2" applyFont="1" applyBorder="1" applyProtection="1">
      <protection locked="0"/>
    </xf>
    <xf numFmtId="0" fontId="9" fillId="0" borderId="36" xfId="2" applyFont="1" applyBorder="1" applyProtection="1">
      <protection locked="0"/>
    </xf>
    <xf numFmtId="166" fontId="8" fillId="0" borderId="0" xfId="2" applyNumberFormat="1" applyFont="1" applyAlignment="1" applyProtection="1">
      <alignment horizontal="right" vertical="center"/>
      <protection locked="0"/>
    </xf>
    <xf numFmtId="166" fontId="8" fillId="0" borderId="0" xfId="2" applyNumberFormat="1" applyFont="1" applyAlignment="1" applyProtection="1">
      <alignment vertical="center"/>
      <protection locked="0"/>
    </xf>
    <xf numFmtId="0" fontId="8" fillId="0" borderId="0" xfId="2" applyFont="1" applyProtection="1">
      <protection locked="0"/>
    </xf>
    <xf numFmtId="166" fontId="9" fillId="0" borderId="0" xfId="2" applyNumberFormat="1" applyFont="1" applyAlignment="1" applyProtection="1">
      <alignment horizontal="center" vertical="center"/>
      <protection locked="0"/>
    </xf>
    <xf numFmtId="0" fontId="9" fillId="0" borderId="0" xfId="2" applyFont="1" applyAlignment="1" applyProtection="1">
      <alignment horizontal="right"/>
      <protection locked="0"/>
    </xf>
    <xf numFmtId="0" fontId="8" fillId="0" borderId="0" xfId="2" applyFont="1" applyAlignment="1" applyProtection="1">
      <alignment horizontal="right"/>
      <protection locked="0"/>
    </xf>
    <xf numFmtId="9" fontId="8" fillId="0" borderId="0" xfId="2" applyNumberFormat="1" applyFont="1" applyProtection="1">
      <protection locked="0"/>
    </xf>
    <xf numFmtId="0" fontId="8" fillId="6" borderId="37" xfId="2" applyFont="1" applyFill="1" applyBorder="1" applyAlignment="1" applyProtection="1">
      <alignment horizontal="center" vertical="center"/>
      <protection locked="0"/>
    </xf>
    <xf numFmtId="0" fontId="9" fillId="0" borderId="0" xfId="2" applyFont="1" applyAlignment="1" applyProtection="1">
      <alignment vertical="center"/>
      <protection locked="0"/>
    </xf>
    <xf numFmtId="0" fontId="8" fillId="0" borderId="28" xfId="2" applyFont="1" applyBorder="1" applyAlignment="1" applyProtection="1">
      <alignment horizontal="center" vertical="center"/>
      <protection locked="0"/>
    </xf>
    <xf numFmtId="0" fontId="9" fillId="0" borderId="25" xfId="2" applyFont="1" applyBorder="1" applyAlignment="1" applyProtection="1">
      <alignment horizontal="left" vertical="center"/>
      <protection locked="0"/>
    </xf>
    <xf numFmtId="0" fontId="9" fillId="0" borderId="7" xfId="2" applyFont="1" applyBorder="1" applyAlignment="1" applyProtection="1">
      <alignment horizontal="left" vertical="center"/>
      <protection locked="0"/>
    </xf>
    <xf numFmtId="0" fontId="9" fillId="0" borderId="29" xfId="2" applyFont="1" applyBorder="1" applyAlignment="1" applyProtection="1">
      <alignment horizontal="left" vertical="center"/>
      <protection locked="0"/>
    </xf>
    <xf numFmtId="0" fontId="9" fillId="0" borderId="25" xfId="2" applyFont="1" applyBorder="1" applyAlignment="1" applyProtection="1">
      <alignment horizontal="center"/>
      <protection locked="0"/>
    </xf>
    <xf numFmtId="0" fontId="9" fillId="0" borderId="7" xfId="2" applyFont="1" applyBorder="1" applyAlignment="1" applyProtection="1">
      <alignment horizontal="center"/>
      <protection locked="0"/>
    </xf>
    <xf numFmtId="0" fontId="9" fillId="0" borderId="29" xfId="2" applyFont="1" applyBorder="1" applyAlignment="1" applyProtection="1">
      <alignment horizontal="center"/>
      <protection locked="0"/>
    </xf>
    <xf numFmtId="0" fontId="8" fillId="0" borderId="34" xfId="2" applyFont="1" applyBorder="1" applyAlignment="1" applyProtection="1">
      <alignment horizontal="center" vertical="center"/>
      <protection locked="0"/>
    </xf>
    <xf numFmtId="9" fontId="4" fillId="0" borderId="21" xfId="3" applyFont="1" applyBorder="1" applyProtection="1">
      <protection locked="0"/>
    </xf>
    <xf numFmtId="9" fontId="4" fillId="0" borderId="26" xfId="3" applyFont="1" applyBorder="1" applyProtection="1">
      <protection locked="0"/>
    </xf>
    <xf numFmtId="9" fontId="4" fillId="0" borderId="31" xfId="3" applyFont="1" applyBorder="1" applyProtection="1">
      <protection locked="0"/>
    </xf>
    <xf numFmtId="0" fontId="4" fillId="0" borderId="0" xfId="5" applyFont="1" applyProtection="1">
      <protection locked="0"/>
    </xf>
    <xf numFmtId="0" fontId="3" fillId="0" borderId="5" xfId="5" applyFont="1" applyBorder="1" applyAlignment="1">
      <alignment horizontal="center" vertical="center"/>
    </xf>
    <xf numFmtId="0" fontId="3" fillId="0" borderId="7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4" fillId="0" borderId="0" xfId="5" applyFont="1" applyAlignment="1">
      <alignment horizontal="center"/>
    </xf>
    <xf numFmtId="0" fontId="4" fillId="0" borderId="0" xfId="5" applyFont="1"/>
    <xf numFmtId="0" fontId="4" fillId="0" borderId="44" xfId="5" applyFont="1" applyBorder="1"/>
    <xf numFmtId="0" fontId="3" fillId="0" borderId="6" xfId="5" applyFont="1" applyBorder="1" applyAlignment="1">
      <alignment horizontal="center" vertical="center"/>
    </xf>
    <xf numFmtId="0" fontId="4" fillId="0" borderId="42" xfId="5" applyFont="1" applyBorder="1"/>
    <xf numFmtId="2" fontId="4" fillId="0" borderId="42" xfId="5" applyNumberFormat="1" applyFont="1" applyBorder="1" applyAlignment="1">
      <alignment horizontal="center"/>
    </xf>
    <xf numFmtId="0" fontId="4" fillId="0" borderId="42" xfId="5" applyFont="1" applyBorder="1" applyAlignment="1">
      <alignment horizontal="center"/>
    </xf>
    <xf numFmtId="0" fontId="4" fillId="0" borderId="44" xfId="5" applyFont="1" applyBorder="1" applyProtection="1">
      <protection locked="0"/>
    </xf>
    <xf numFmtId="2" fontId="4" fillId="0" borderId="0" xfId="5" applyNumberFormat="1" applyFont="1"/>
    <xf numFmtId="2" fontId="4" fillId="0" borderId="44" xfId="5" applyNumberFormat="1" applyFont="1" applyBorder="1"/>
    <xf numFmtId="0" fontId="3" fillId="0" borderId="0" xfId="5" applyFont="1"/>
    <xf numFmtId="0" fontId="3" fillId="0" borderId="0" xfId="5" applyFont="1" applyAlignment="1">
      <alignment horizontal="left"/>
    </xf>
    <xf numFmtId="0" fontId="3" fillId="0" borderId="5" xfId="5" applyFont="1" applyBorder="1" applyAlignment="1">
      <alignment horizontal="left"/>
    </xf>
    <xf numFmtId="2" fontId="4" fillId="0" borderId="42" xfId="5" applyNumberFormat="1" applyFont="1" applyBorder="1"/>
    <xf numFmtId="0" fontId="4" fillId="0" borderId="42" xfId="5" applyFont="1" applyBorder="1" applyProtection="1">
      <protection locked="0"/>
    </xf>
    <xf numFmtId="0" fontId="4" fillId="0" borderId="8" xfId="5" applyFont="1" applyBorder="1" applyProtection="1">
      <protection locked="0"/>
    </xf>
    <xf numFmtId="0" fontId="4" fillId="0" borderId="43" xfId="5" applyFont="1" applyBorder="1" applyProtection="1">
      <protection locked="0"/>
    </xf>
    <xf numFmtId="0" fontId="4" fillId="0" borderId="9" xfId="5" applyFont="1" applyBorder="1" applyProtection="1">
      <protection locked="0"/>
    </xf>
    <xf numFmtId="0" fontId="4" fillId="0" borderId="50" xfId="5" applyFont="1" applyBorder="1" applyProtection="1">
      <protection locked="0"/>
    </xf>
    <xf numFmtId="0" fontId="4" fillId="6" borderId="0" xfId="4" applyFont="1" applyFill="1"/>
    <xf numFmtId="0" fontId="4" fillId="6" borderId="0" xfId="4" applyFont="1" applyFill="1" applyAlignment="1">
      <alignment horizontal="center"/>
    </xf>
    <xf numFmtId="0" fontId="4" fillId="6" borderId="46" xfId="4" applyFont="1" applyFill="1" applyBorder="1"/>
    <xf numFmtId="0" fontId="4" fillId="6" borderId="60" xfId="4" applyFont="1" applyFill="1" applyBorder="1"/>
    <xf numFmtId="0" fontId="9" fillId="0" borderId="65" xfId="2" applyFont="1" applyBorder="1" applyProtection="1">
      <protection locked="0"/>
    </xf>
    <xf numFmtId="0" fontId="4" fillId="0" borderId="18" xfId="4" applyFont="1" applyBorder="1"/>
    <xf numFmtId="0" fontId="4" fillId="0" borderId="10" xfId="4" applyFont="1" applyBorder="1" applyAlignment="1">
      <alignment horizontal="center"/>
    </xf>
    <xf numFmtId="0" fontId="4" fillId="0" borderId="51" xfId="4" applyFont="1" applyBorder="1"/>
    <xf numFmtId="0" fontId="4" fillId="0" borderId="18" xfId="4" applyFont="1" applyBorder="1" applyAlignment="1">
      <alignment horizontal="center"/>
    </xf>
    <xf numFmtId="0" fontId="4" fillId="0" borderId="19" xfId="4" applyFont="1" applyBorder="1" applyAlignment="1">
      <alignment horizontal="center"/>
    </xf>
    <xf numFmtId="0" fontId="4" fillId="7" borderId="18" xfId="0" applyFont="1" applyFill="1" applyBorder="1" applyAlignment="1">
      <alignment horizontal="center"/>
    </xf>
    <xf numFmtId="0" fontId="4" fillId="0" borderId="10" xfId="4" applyFont="1" applyBorder="1"/>
    <xf numFmtId="0" fontId="4" fillId="0" borderId="19" xfId="4" applyFont="1" applyBorder="1"/>
    <xf numFmtId="0" fontId="4" fillId="0" borderId="9" xfId="4" applyFont="1" applyBorder="1"/>
    <xf numFmtId="0" fontId="3" fillId="6" borderId="61" xfId="4" applyFont="1" applyFill="1" applyBorder="1" applyAlignment="1">
      <alignment horizontal="center" textRotation="90"/>
    </xf>
    <xf numFmtId="0" fontId="3" fillId="6" borderId="35" xfId="4" applyFont="1" applyFill="1" applyBorder="1" applyAlignment="1">
      <alignment horizontal="center" textRotation="90"/>
    </xf>
    <xf numFmtId="0" fontId="3" fillId="6" borderId="62" xfId="4" applyFont="1" applyFill="1" applyBorder="1" applyAlignment="1">
      <alignment horizontal="center" textRotation="90"/>
    </xf>
    <xf numFmtId="0" fontId="3" fillId="6" borderId="68" xfId="4" applyFont="1" applyFill="1" applyBorder="1" applyAlignment="1">
      <alignment horizontal="center" vertical="center"/>
    </xf>
    <xf numFmtId="0" fontId="3" fillId="6" borderId="68" xfId="4" applyFont="1" applyFill="1" applyBorder="1" applyAlignment="1">
      <alignment horizontal="center" textRotation="90"/>
    </xf>
    <xf numFmtId="0" fontId="10" fillId="0" borderId="7" xfId="5" applyFont="1" applyBorder="1"/>
    <xf numFmtId="0" fontId="5" fillId="0" borderId="0" xfId="5" applyProtection="1">
      <protection locked="0"/>
    </xf>
    <xf numFmtId="0" fontId="10" fillId="0" borderId="7" xfId="5" applyFont="1" applyBorder="1" applyAlignment="1">
      <alignment horizontal="left"/>
    </xf>
    <xf numFmtId="0" fontId="5" fillId="0" borderId="42" xfId="5" applyBorder="1"/>
    <xf numFmtId="2" fontId="5" fillId="0" borderId="42" xfId="5" applyNumberFormat="1" applyBorder="1" applyAlignment="1">
      <alignment horizontal="center"/>
    </xf>
    <xf numFmtId="0" fontId="5" fillId="0" borderId="42" xfId="5" applyBorder="1" applyAlignment="1">
      <alignment horizontal="center"/>
    </xf>
    <xf numFmtId="0" fontId="10" fillId="0" borderId="1" xfId="5" applyFont="1" applyBorder="1" applyAlignment="1">
      <alignment horizontal="left" vertical="center"/>
    </xf>
    <xf numFmtId="0" fontId="10" fillId="0" borderId="42" xfId="5" applyFont="1" applyBorder="1" applyAlignment="1">
      <alignment horizontal="left" vertical="center"/>
    </xf>
    <xf numFmtId="14" fontId="10" fillId="0" borderId="0" xfId="5" applyNumberFormat="1" applyFont="1" applyAlignment="1">
      <alignment horizontal="left" vertical="center"/>
    </xf>
    <xf numFmtId="0" fontId="10" fillId="0" borderId="0" xfId="5" applyFont="1" applyAlignment="1">
      <alignment horizontal="left" vertical="center"/>
    </xf>
    <xf numFmtId="0" fontId="10" fillId="0" borderId="0" xfId="5" applyFont="1" applyAlignment="1">
      <alignment textRotation="90"/>
    </xf>
    <xf numFmtId="0" fontId="10" fillId="0" borderId="0" xfId="5" applyFont="1" applyAlignment="1">
      <alignment textRotation="90" wrapText="1"/>
    </xf>
    <xf numFmtId="2" fontId="10" fillId="0" borderId="0" xfId="5" applyNumberFormat="1" applyFont="1" applyAlignment="1">
      <alignment vertical="center" wrapText="1"/>
    </xf>
    <xf numFmtId="0" fontId="10" fillId="0" borderId="65" xfId="5" applyFont="1" applyBorder="1" applyAlignment="1">
      <alignment horizontal="left" vertical="center"/>
    </xf>
    <xf numFmtId="14" fontId="10" fillId="0" borderId="65" xfId="5" applyNumberFormat="1" applyFont="1" applyBorder="1" applyAlignment="1">
      <alignment horizontal="left" vertical="center"/>
    </xf>
    <xf numFmtId="0" fontId="10" fillId="0" borderId="65" xfId="5" applyFont="1" applyBorder="1" applyAlignment="1">
      <alignment textRotation="90"/>
    </xf>
    <xf numFmtId="0" fontId="10" fillId="0" borderId="65" xfId="5" applyFont="1" applyBorder="1" applyAlignment="1">
      <alignment textRotation="90" wrapText="1"/>
    </xf>
    <xf numFmtId="2" fontId="10" fillId="0" borderId="65" xfId="5" applyNumberFormat="1" applyFont="1" applyBorder="1" applyAlignment="1">
      <alignment vertical="center" wrapText="1"/>
    </xf>
    <xf numFmtId="0" fontId="10" fillId="0" borderId="21" xfId="5" applyFont="1" applyBorder="1" applyAlignment="1">
      <alignment horizontal="left" vertical="center" wrapText="1"/>
    </xf>
    <xf numFmtId="165" fontId="10" fillId="0" borderId="22" xfId="5" applyNumberFormat="1" applyFont="1" applyBorder="1" applyAlignment="1" applyProtection="1">
      <alignment horizontal="left" vertical="center"/>
      <protection locked="0"/>
    </xf>
    <xf numFmtId="165" fontId="10" fillId="0" borderId="54" xfId="5" applyNumberFormat="1" applyFont="1" applyBorder="1" applyAlignment="1" applyProtection="1">
      <alignment horizontal="center" vertical="center"/>
      <protection locked="0"/>
    </xf>
    <xf numFmtId="2" fontId="10" fillId="0" borderId="54" xfId="5" applyNumberFormat="1" applyFont="1" applyBorder="1" applyAlignment="1">
      <alignment vertical="center" wrapText="1"/>
    </xf>
    <xf numFmtId="0" fontId="10" fillId="0" borderId="25" xfId="5" applyFont="1" applyBorder="1" applyAlignment="1">
      <alignment horizontal="left" vertical="center"/>
    </xf>
    <xf numFmtId="0" fontId="10" fillId="0" borderId="1" xfId="5" applyFont="1" applyBorder="1" applyAlignment="1">
      <alignment horizontal="left"/>
    </xf>
    <xf numFmtId="2" fontId="10" fillId="0" borderId="4" xfId="5" applyNumberFormat="1" applyFont="1" applyBorder="1" applyAlignment="1">
      <alignment vertical="center" wrapText="1"/>
    </xf>
    <xf numFmtId="0" fontId="10" fillId="0" borderId="26" xfId="5" applyFont="1" applyBorder="1" applyAlignment="1">
      <alignment horizontal="left" vertical="center"/>
    </xf>
    <xf numFmtId="49" fontId="10" fillId="0" borderId="1" xfId="5" applyNumberFormat="1" applyFont="1" applyBorder="1" applyAlignment="1">
      <alignment horizontal="left"/>
    </xf>
    <xf numFmtId="165" fontId="10" fillId="0" borderId="1" xfId="5" applyNumberFormat="1" applyFont="1" applyBorder="1" applyAlignment="1" applyProtection="1">
      <alignment horizontal="center" vertical="center"/>
      <protection locked="0"/>
    </xf>
    <xf numFmtId="0" fontId="5" fillId="0" borderId="46" xfId="5" applyBorder="1" applyProtection="1">
      <protection locked="0"/>
    </xf>
    <xf numFmtId="0" fontId="5" fillId="0" borderId="17" xfId="5" applyBorder="1" applyProtection="1">
      <protection locked="0"/>
    </xf>
    <xf numFmtId="0" fontId="5" fillId="0" borderId="44" xfId="5" applyBorder="1" applyAlignment="1" applyProtection="1">
      <alignment horizontal="left"/>
      <protection locked="0"/>
    </xf>
    <xf numFmtId="0" fontId="5" fillId="0" borderId="9" xfId="5" applyBorder="1" applyAlignment="1" applyProtection="1">
      <alignment horizontal="center"/>
      <protection locked="0"/>
    </xf>
    <xf numFmtId="2" fontId="10" fillId="0" borderId="2" xfId="5" applyNumberFormat="1" applyFont="1" applyBorder="1" applyAlignment="1">
      <alignment vertical="center" wrapText="1"/>
    </xf>
    <xf numFmtId="0" fontId="10" fillId="0" borderId="26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0" fontId="5" fillId="0" borderId="1" xfId="5" applyBorder="1" applyAlignment="1">
      <alignment horizontal="center"/>
    </xf>
    <xf numFmtId="2" fontId="10" fillId="0" borderId="10" xfId="5" applyNumberFormat="1" applyFont="1" applyBorder="1" applyAlignment="1">
      <alignment vertical="center" wrapText="1"/>
    </xf>
    <xf numFmtId="0" fontId="10" fillId="0" borderId="0" xfId="5" applyFont="1" applyProtection="1">
      <protection locked="0"/>
    </xf>
    <xf numFmtId="0" fontId="5" fillId="4" borderId="0" xfId="5" applyFill="1" applyAlignment="1" applyProtection="1">
      <alignment vertical="center"/>
      <protection locked="0"/>
    </xf>
    <xf numFmtId="0" fontId="10" fillId="3" borderId="26" xfId="5" applyFont="1" applyFill="1" applyBorder="1" applyAlignment="1" applyProtection="1">
      <alignment horizontal="center" vertical="center"/>
      <protection locked="0"/>
    </xf>
    <xf numFmtId="0" fontId="5" fillId="3" borderId="1" xfId="5" applyFill="1" applyBorder="1" applyAlignment="1" applyProtection="1">
      <alignment horizontal="center" vertical="center"/>
      <protection locked="0"/>
    </xf>
    <xf numFmtId="0" fontId="5" fillId="3" borderId="0" xfId="5" applyFill="1" applyAlignment="1" applyProtection="1">
      <alignment vertical="center"/>
      <protection locked="0"/>
    </xf>
    <xf numFmtId="0" fontId="10" fillId="0" borderId="26" xfId="5" applyFont="1" applyBorder="1" applyAlignment="1" applyProtection="1">
      <alignment horizontal="center" vertical="center"/>
      <protection locked="0"/>
    </xf>
    <xf numFmtId="0" fontId="5" fillId="0" borderId="1" xfId="5" applyBorder="1" applyAlignment="1" applyProtection="1">
      <alignment horizontal="left" vertical="center"/>
      <protection locked="0"/>
    </xf>
    <xf numFmtId="0" fontId="5" fillId="0" borderId="1" xfId="5" applyBorder="1" applyAlignment="1" applyProtection="1">
      <alignment horizontal="center" vertical="center"/>
      <protection locked="0"/>
    </xf>
    <xf numFmtId="2" fontId="5" fillId="0" borderId="1" xfId="5" applyNumberFormat="1" applyBorder="1" applyAlignment="1" applyProtection="1">
      <alignment horizontal="center" vertical="center"/>
      <protection locked="0"/>
    </xf>
    <xf numFmtId="0" fontId="5" fillId="0" borderId="27" xfId="5" applyBorder="1" applyAlignment="1" applyProtection="1">
      <alignment horizontal="center" vertical="center"/>
      <protection locked="0"/>
    </xf>
    <xf numFmtId="0" fontId="5" fillId="0" borderId="0" xfId="5" applyAlignment="1" applyProtection="1">
      <alignment vertical="center"/>
      <protection locked="0"/>
    </xf>
    <xf numFmtId="0" fontId="10" fillId="0" borderId="1" xfId="5" applyFont="1" applyBorder="1" applyAlignment="1" applyProtection="1">
      <alignment horizontal="center" vertical="center"/>
      <protection locked="0"/>
    </xf>
    <xf numFmtId="0" fontId="5" fillId="0" borderId="2" xfId="5" applyBorder="1" applyAlignment="1" applyProtection="1">
      <alignment horizontal="center" vertical="center"/>
      <protection locked="0"/>
    </xf>
    <xf numFmtId="0" fontId="5" fillId="0" borderId="1" xfId="5" applyBorder="1" applyAlignment="1">
      <alignment vertical="center" wrapText="1"/>
    </xf>
    <xf numFmtId="0" fontId="10" fillId="0" borderId="1" xfId="5" applyFont="1" applyBorder="1" applyAlignment="1" applyProtection="1">
      <alignment horizontal="left" vertical="center"/>
      <protection locked="0"/>
    </xf>
    <xf numFmtId="0" fontId="5" fillId="0" borderId="26" xfId="5" applyBorder="1" applyAlignment="1" applyProtection="1">
      <alignment horizontal="center" vertical="center"/>
      <protection locked="0"/>
    </xf>
    <xf numFmtId="0" fontId="5" fillId="0" borderId="3" xfId="5" applyBorder="1" applyAlignment="1">
      <alignment horizontal="center" vertical="center"/>
    </xf>
    <xf numFmtId="1" fontId="5" fillId="0" borderId="2" xfId="5" applyNumberFormat="1" applyBorder="1" applyAlignment="1" applyProtection="1">
      <alignment horizontal="center" vertical="center"/>
      <protection locked="0"/>
    </xf>
    <xf numFmtId="2" fontId="5" fillId="0" borderId="4" xfId="5" applyNumberFormat="1" applyBorder="1" applyAlignment="1" applyProtection="1">
      <alignment horizontal="center" vertical="center"/>
      <protection locked="0"/>
    </xf>
    <xf numFmtId="0" fontId="5" fillId="0" borderId="4" xfId="5" applyBorder="1" applyAlignment="1" applyProtection="1">
      <alignment horizontal="center" vertical="center"/>
      <protection locked="0"/>
    </xf>
    <xf numFmtId="0" fontId="5" fillId="0" borderId="26" xfId="5" applyBorder="1" applyAlignment="1">
      <alignment horizontal="center" vertical="center"/>
    </xf>
    <xf numFmtId="0" fontId="5" fillId="0" borderId="1" xfId="5" applyBorder="1" applyAlignment="1">
      <alignment horizontal="left" vertical="center"/>
    </xf>
    <xf numFmtId="0" fontId="5" fillId="0" borderId="1" xfId="5" applyBorder="1" applyAlignment="1">
      <alignment horizontal="center" vertical="center"/>
    </xf>
    <xf numFmtId="164" fontId="5" fillId="0" borderId="3" xfId="5" applyNumberFormat="1" applyBorder="1" applyAlignment="1">
      <alignment horizontal="center" vertical="center"/>
    </xf>
    <xf numFmtId="2" fontId="5" fillId="0" borderId="1" xfId="5" applyNumberFormat="1" applyBorder="1" applyAlignment="1">
      <alignment horizontal="center" vertical="center"/>
    </xf>
    <xf numFmtId="0" fontId="5" fillId="0" borderId="0" xfId="5" applyAlignment="1">
      <alignment vertical="center"/>
    </xf>
    <xf numFmtId="49" fontId="5" fillId="0" borderId="1" xfId="5" applyNumberFormat="1" applyBorder="1" applyAlignment="1">
      <alignment horizontal="center" vertical="center"/>
    </xf>
    <xf numFmtId="1" fontId="5" fillId="0" borderId="1" xfId="5" applyNumberFormat="1" applyBorder="1" applyAlignment="1">
      <alignment horizontal="center" vertical="center"/>
    </xf>
    <xf numFmtId="49" fontId="5" fillId="0" borderId="8" xfId="5" applyNumberFormat="1" applyBorder="1" applyAlignment="1">
      <alignment horizontal="center" vertical="center"/>
    </xf>
    <xf numFmtId="0" fontId="5" fillId="0" borderId="9" xfId="5" applyBorder="1" applyAlignment="1">
      <alignment horizontal="right" vertical="center"/>
    </xf>
    <xf numFmtId="164" fontId="5" fillId="0" borderId="10" xfId="5" applyNumberFormat="1" applyBorder="1" applyAlignment="1">
      <alignment horizontal="center" vertical="center"/>
    </xf>
    <xf numFmtId="0" fontId="10" fillId="0" borderId="31" xfId="5" applyFont="1" applyBorder="1" applyAlignment="1" applyProtection="1">
      <alignment horizontal="center" vertical="center"/>
      <protection locked="0"/>
    </xf>
    <xf numFmtId="0" fontId="5" fillId="0" borderId="32" xfId="5" applyBorder="1" applyAlignment="1" applyProtection="1">
      <alignment horizontal="left" vertical="center"/>
      <protection locked="0"/>
    </xf>
    <xf numFmtId="0" fontId="5" fillId="0" borderId="32" xfId="5" applyBorder="1" applyAlignment="1" applyProtection="1">
      <alignment horizontal="center" vertical="center"/>
      <protection locked="0"/>
    </xf>
    <xf numFmtId="2" fontId="5" fillId="0" borderId="32" xfId="5" applyNumberFormat="1" applyBorder="1" applyAlignment="1" applyProtection="1">
      <alignment horizontal="center" vertical="center"/>
      <protection locked="0"/>
    </xf>
    <xf numFmtId="0" fontId="5" fillId="0" borderId="46" xfId="5" applyBorder="1" applyAlignment="1" applyProtection="1">
      <alignment horizontal="center" vertical="center"/>
      <protection locked="0"/>
    </xf>
    <xf numFmtId="0" fontId="11" fillId="0" borderId="0" xfId="5" applyFont="1" applyAlignment="1" applyProtection="1">
      <alignment horizontal="left" vertical="center"/>
      <protection locked="0"/>
    </xf>
    <xf numFmtId="0" fontId="5" fillId="0" borderId="0" xfId="5" applyAlignment="1" applyProtection="1">
      <alignment horizontal="center" vertical="center"/>
      <protection locked="0"/>
    </xf>
    <xf numFmtId="0" fontId="10" fillId="0" borderId="0" xfId="5" applyFont="1" applyAlignment="1" applyProtection="1">
      <alignment horizontal="center" vertical="center"/>
      <protection locked="0"/>
    </xf>
    <xf numFmtId="2" fontId="5" fillId="0" borderId="0" xfId="5" applyNumberFormat="1" applyAlignment="1" applyProtection="1">
      <alignment horizontal="center" vertical="center"/>
      <protection locked="0"/>
    </xf>
    <xf numFmtId="0" fontId="5" fillId="3" borderId="0" xfId="5" applyFill="1" applyAlignment="1" applyProtection="1">
      <alignment horizontal="center" vertical="center"/>
      <protection locked="0"/>
    </xf>
    <xf numFmtId="0" fontId="12" fillId="3" borderId="0" xfId="5" applyFont="1" applyFill="1" applyAlignment="1" applyProtection="1">
      <alignment horizontal="center" vertical="center"/>
      <protection locked="0"/>
    </xf>
    <xf numFmtId="0" fontId="5" fillId="0" borderId="0" xfId="5" applyAlignment="1">
      <alignment vertical="center" wrapText="1"/>
    </xf>
    <xf numFmtId="0" fontId="5" fillId="2" borderId="0" xfId="5" applyFill="1" applyAlignment="1" applyProtection="1">
      <alignment horizontal="center" vertical="center"/>
      <protection locked="0"/>
    </xf>
    <xf numFmtId="0" fontId="5" fillId="0" borderId="0" xfId="5" applyAlignment="1" applyProtection="1">
      <alignment horizontal="left"/>
      <protection locked="0"/>
    </xf>
    <xf numFmtId="0" fontId="5" fillId="0" borderId="0" xfId="5" applyAlignment="1" applyProtection="1">
      <alignment horizontal="center"/>
      <protection locked="0"/>
    </xf>
    <xf numFmtId="2" fontId="5" fillId="0" borderId="0" xfId="5" applyNumberFormat="1" applyAlignment="1" applyProtection="1">
      <alignment horizontal="center"/>
      <protection locked="0"/>
    </xf>
    <xf numFmtId="0" fontId="10" fillId="6" borderId="26" xfId="5" applyFont="1" applyFill="1" applyBorder="1" applyAlignment="1" applyProtection="1">
      <alignment horizontal="center" vertical="center"/>
      <protection locked="0"/>
    </xf>
    <xf numFmtId="0" fontId="10" fillId="6" borderId="1" xfId="5" applyFont="1" applyFill="1" applyBorder="1" applyAlignment="1" applyProtection="1">
      <alignment horizontal="left" vertical="center"/>
      <protection locked="0"/>
    </xf>
    <xf numFmtId="0" fontId="10" fillId="6" borderId="1" xfId="5" applyFont="1" applyFill="1" applyBorder="1" applyAlignment="1" applyProtection="1">
      <alignment horizontal="center" vertical="center"/>
      <protection locked="0"/>
    </xf>
    <xf numFmtId="0" fontId="5" fillId="6" borderId="1" xfId="5" applyFill="1" applyBorder="1" applyAlignment="1" applyProtection="1">
      <alignment horizontal="center" vertical="center"/>
      <protection locked="0"/>
    </xf>
    <xf numFmtId="2" fontId="5" fillId="6" borderId="1" xfId="5" applyNumberFormat="1" applyFill="1" applyBorder="1" applyAlignment="1" applyProtection="1">
      <alignment horizontal="center" vertical="center"/>
      <protection locked="0"/>
    </xf>
    <xf numFmtId="0" fontId="5" fillId="6" borderId="27" xfId="5" applyFill="1" applyBorder="1" applyAlignment="1" applyProtection="1">
      <alignment horizontal="center" vertical="center"/>
      <protection locked="0"/>
    </xf>
    <xf numFmtId="2" fontId="5" fillId="0" borderId="1" xfId="0" applyNumberFormat="1" applyFont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5" xfId="5" applyBorder="1" applyAlignment="1" applyProtection="1">
      <alignment horizontal="left" vertical="center"/>
      <protection locked="0"/>
    </xf>
    <xf numFmtId="0" fontId="5" fillId="5" borderId="1" xfId="0" applyFont="1" applyFill="1" applyBorder="1" applyAlignment="1" applyProtection="1">
      <alignment horizontal="center" vertical="center"/>
      <protection locked="0"/>
    </xf>
    <xf numFmtId="2" fontId="5" fillId="3" borderId="1" xfId="0" applyNumberFormat="1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 applyProtection="1">
      <alignment horizontal="center" vertical="center"/>
      <protection locked="0"/>
    </xf>
    <xf numFmtId="2" fontId="10" fillId="0" borderId="54" xfId="5" applyNumberFormat="1" applyFont="1" applyBorder="1" applyAlignment="1">
      <alignment horizontal="center" vertical="center" wrapText="1"/>
    </xf>
    <xf numFmtId="2" fontId="10" fillId="0" borderId="4" xfId="5" applyNumberFormat="1" applyFont="1" applyBorder="1" applyAlignment="1">
      <alignment horizontal="center" vertical="center" wrapText="1"/>
    </xf>
    <xf numFmtId="2" fontId="10" fillId="0" borderId="10" xfId="5" applyNumberFormat="1" applyFont="1" applyBorder="1" applyAlignment="1">
      <alignment horizontal="center" vertical="center" wrapText="1"/>
    </xf>
    <xf numFmtId="2" fontId="10" fillId="0" borderId="56" xfId="5" applyNumberFormat="1" applyFont="1" applyBorder="1" applyAlignment="1">
      <alignment horizontal="center" vertical="center" wrapText="1"/>
    </xf>
    <xf numFmtId="2" fontId="10" fillId="0" borderId="47" xfId="5" applyNumberFormat="1" applyFont="1" applyBorder="1" applyAlignment="1">
      <alignment horizontal="center" vertical="center" wrapText="1"/>
    </xf>
    <xf numFmtId="2" fontId="10" fillId="0" borderId="19" xfId="5" applyNumberFormat="1" applyFont="1" applyBorder="1" applyAlignment="1">
      <alignment horizontal="center" vertical="center" wrapText="1"/>
    </xf>
    <xf numFmtId="0" fontId="10" fillId="0" borderId="54" xfId="5" applyFont="1" applyBorder="1" applyAlignment="1">
      <alignment horizontal="center" textRotation="90"/>
    </xf>
    <xf numFmtId="0" fontId="10" fillId="0" borderId="4" xfId="5" applyFont="1" applyBorder="1" applyAlignment="1">
      <alignment horizontal="center" textRotation="90"/>
    </xf>
    <xf numFmtId="0" fontId="10" fillId="0" borderId="10" xfId="5" applyFont="1" applyBorder="1" applyAlignment="1">
      <alignment horizontal="center" textRotation="90"/>
    </xf>
    <xf numFmtId="0" fontId="10" fillId="0" borderId="54" xfId="5" applyFont="1" applyBorder="1" applyAlignment="1">
      <alignment horizontal="center" textRotation="90" wrapText="1"/>
    </xf>
    <xf numFmtId="0" fontId="10" fillId="0" borderId="4" xfId="5" applyFont="1" applyBorder="1" applyAlignment="1">
      <alignment horizontal="center" textRotation="90" wrapText="1"/>
    </xf>
    <xf numFmtId="0" fontId="10" fillId="0" borderId="10" xfId="5" applyFont="1" applyBorder="1" applyAlignment="1">
      <alignment horizontal="center" textRotation="90" wrapText="1"/>
    </xf>
    <xf numFmtId="14" fontId="10" fillId="0" borderId="1" xfId="5" applyNumberFormat="1" applyFont="1" applyBorder="1" applyAlignment="1">
      <alignment horizontal="left" vertical="center"/>
    </xf>
    <xf numFmtId="0" fontId="10" fillId="0" borderId="1" xfId="5" applyFont="1" applyBorder="1" applyAlignment="1">
      <alignment horizontal="left" vertical="center"/>
    </xf>
    <xf numFmtId="0" fontId="10" fillId="0" borderId="5" xfId="5" applyFont="1" applyBorder="1"/>
    <xf numFmtId="0" fontId="10" fillId="0" borderId="7" xfId="5" applyFont="1" applyBorder="1"/>
    <xf numFmtId="0" fontId="10" fillId="0" borderId="6" xfId="5" applyFont="1" applyBorder="1"/>
    <xf numFmtId="0" fontId="10" fillId="0" borderId="5" xfId="5" applyFont="1" applyBorder="1" applyAlignment="1">
      <alignment horizontal="left"/>
    </xf>
    <xf numFmtId="0" fontId="5" fillId="0" borderId="7" xfId="5" applyBorder="1"/>
    <xf numFmtId="0" fontId="5" fillId="0" borderId="5" xfId="5" applyBorder="1"/>
    <xf numFmtId="0" fontId="5" fillId="0" borderId="7" xfId="5" applyBorder="1" applyAlignment="1">
      <alignment horizontal="center"/>
    </xf>
    <xf numFmtId="0" fontId="5" fillId="0" borderId="6" xfId="5" applyBorder="1" applyAlignment="1">
      <alignment horizontal="center"/>
    </xf>
    <xf numFmtId="2" fontId="5" fillId="0" borderId="7" xfId="5" applyNumberFormat="1" applyBorder="1" applyAlignment="1">
      <alignment horizontal="center"/>
    </xf>
    <xf numFmtId="49" fontId="5" fillId="0" borderId="5" xfId="5" applyNumberFormat="1" applyBorder="1" applyAlignment="1">
      <alignment horizontal="center" vertical="center"/>
    </xf>
    <xf numFmtId="49" fontId="5" fillId="0" borderId="6" xfId="5" applyNumberFormat="1" applyBorder="1" applyAlignment="1">
      <alignment horizontal="center" vertical="center"/>
    </xf>
    <xf numFmtId="0" fontId="5" fillId="0" borderId="5" xfId="5" applyBorder="1" applyAlignment="1">
      <alignment horizontal="right" vertical="center"/>
    </xf>
    <xf numFmtId="0" fontId="5" fillId="0" borderId="6" xfId="5" applyBorder="1" applyAlignment="1">
      <alignment horizontal="right" vertical="center"/>
    </xf>
    <xf numFmtId="0" fontId="10" fillId="0" borderId="25" xfId="5" applyFont="1" applyBorder="1" applyAlignment="1" applyProtection="1">
      <alignment vertical="center"/>
      <protection locked="0"/>
    </xf>
    <xf numFmtId="0" fontId="10" fillId="0" borderId="6" xfId="5" applyFont="1" applyBorder="1" applyAlignment="1" applyProtection="1">
      <alignment vertical="center"/>
      <protection locked="0"/>
    </xf>
    <xf numFmtId="0" fontId="10" fillId="0" borderId="5" xfId="5" applyFont="1" applyBorder="1" applyAlignment="1" applyProtection="1">
      <alignment horizontal="center" vertical="center"/>
      <protection locked="0"/>
    </xf>
    <xf numFmtId="0" fontId="10" fillId="0" borderId="7" xfId="5" applyFont="1" applyBorder="1" applyAlignment="1" applyProtection="1">
      <alignment horizontal="center" vertical="center"/>
      <protection locked="0"/>
    </xf>
    <xf numFmtId="0" fontId="10" fillId="0" borderId="6" xfId="5" applyFont="1" applyBorder="1" applyAlignment="1" applyProtection="1">
      <alignment horizontal="center" vertical="center"/>
      <protection locked="0"/>
    </xf>
    <xf numFmtId="0" fontId="10" fillId="0" borderId="5" xfId="5" applyFont="1" applyBorder="1" applyAlignment="1" applyProtection="1">
      <alignment horizontal="center"/>
      <protection locked="0"/>
    </xf>
    <xf numFmtId="0" fontId="10" fillId="0" borderId="7" xfId="5" applyFont="1" applyBorder="1" applyAlignment="1" applyProtection="1">
      <alignment horizontal="center"/>
      <protection locked="0"/>
    </xf>
    <xf numFmtId="0" fontId="10" fillId="0" borderId="29" xfId="5" applyFont="1" applyBorder="1" applyAlignment="1" applyProtection="1">
      <alignment horizontal="center"/>
      <protection locked="0"/>
    </xf>
    <xf numFmtId="0" fontId="5" fillId="0" borderId="5" xfId="5" applyBorder="1" applyAlignment="1" applyProtection="1">
      <alignment horizontal="center"/>
      <protection locked="0"/>
    </xf>
    <xf numFmtId="0" fontId="5" fillId="0" borderId="7" xfId="5" applyBorder="1" applyAlignment="1" applyProtection="1">
      <alignment horizontal="center"/>
      <protection locked="0"/>
    </xf>
    <xf numFmtId="0" fontId="5" fillId="0" borderId="29" xfId="5" applyBorder="1" applyAlignment="1" applyProtection="1">
      <alignment horizontal="center"/>
      <protection locked="0"/>
    </xf>
    <xf numFmtId="0" fontId="5" fillId="0" borderId="7" xfId="5" applyBorder="1" applyAlignment="1">
      <alignment horizontal="center" vertical="center"/>
    </xf>
    <xf numFmtId="0" fontId="5" fillId="0" borderId="6" xfId="5" applyBorder="1" applyAlignment="1">
      <alignment horizontal="center" vertical="center"/>
    </xf>
    <xf numFmtId="0" fontId="5" fillId="0" borderId="29" xfId="5" applyBorder="1" applyAlignment="1">
      <alignment horizontal="center"/>
    </xf>
    <xf numFmtId="0" fontId="10" fillId="0" borderId="48" xfId="5" applyFont="1" applyBorder="1" applyAlignment="1" applyProtection="1">
      <alignment horizontal="center" vertical="center"/>
      <protection locked="0"/>
    </xf>
    <xf numFmtId="0" fontId="5" fillId="0" borderId="41" xfId="5" applyBorder="1" applyAlignment="1">
      <alignment horizontal="center" vertical="center"/>
    </xf>
    <xf numFmtId="0" fontId="5" fillId="0" borderId="49" xfId="5" applyBorder="1" applyAlignment="1">
      <alignment horizontal="center" vertical="center"/>
    </xf>
    <xf numFmtId="0" fontId="5" fillId="0" borderId="48" xfId="5" applyBorder="1" applyAlignment="1" applyProtection="1">
      <alignment horizontal="center"/>
      <protection locked="0"/>
    </xf>
    <xf numFmtId="0" fontId="5" fillId="0" borderId="41" xfId="5" applyBorder="1" applyAlignment="1">
      <alignment horizontal="center"/>
    </xf>
    <xf numFmtId="0" fontId="5" fillId="0" borderId="36" xfId="5" applyBorder="1" applyAlignment="1">
      <alignment horizontal="center"/>
    </xf>
    <xf numFmtId="0" fontId="3" fillId="6" borderId="45" xfId="4" applyFont="1" applyFill="1" applyBorder="1" applyAlignment="1">
      <alignment horizontal="center" vertical="center"/>
    </xf>
    <xf numFmtId="0" fontId="3" fillId="6" borderId="65" xfId="4" applyFont="1" applyFill="1" applyBorder="1" applyAlignment="1">
      <alignment horizontal="center" vertical="center"/>
    </xf>
    <xf numFmtId="0" fontId="3" fillId="6" borderId="58" xfId="4" applyFont="1" applyFill="1" applyBorder="1" applyAlignment="1">
      <alignment horizontal="center" textRotation="90"/>
    </xf>
    <xf numFmtId="0" fontId="3" fillId="6" borderId="64" xfId="4" applyFont="1" applyFill="1" applyBorder="1" applyAlignment="1">
      <alignment horizontal="center" textRotation="90"/>
    </xf>
    <xf numFmtId="0" fontId="3" fillId="6" borderId="45" xfId="4" applyFont="1" applyFill="1" applyBorder="1" applyAlignment="1">
      <alignment horizontal="center" textRotation="90"/>
    </xf>
    <xf numFmtId="0" fontId="3" fillId="6" borderId="65" xfId="4" applyFont="1" applyFill="1" applyBorder="1" applyAlignment="1">
      <alignment horizontal="center" textRotation="90"/>
    </xf>
    <xf numFmtId="0" fontId="4" fillId="0" borderId="42" xfId="5" applyFont="1" applyBorder="1" applyAlignment="1">
      <alignment horizontal="center"/>
    </xf>
    <xf numFmtId="0" fontId="4" fillId="0" borderId="0" xfId="5" applyFont="1" applyAlignment="1">
      <alignment horizontal="center"/>
    </xf>
    <xf numFmtId="0" fontId="4" fillId="0" borderId="44" xfId="5" applyFont="1" applyBorder="1" applyAlignment="1">
      <alignment horizontal="center"/>
    </xf>
    <xf numFmtId="0" fontId="3" fillId="0" borderId="5" xfId="5" applyFont="1" applyBorder="1" applyAlignment="1">
      <alignment horizontal="left" vertical="center"/>
    </xf>
    <xf numFmtId="0" fontId="3" fillId="0" borderId="6" xfId="5" applyFont="1" applyBorder="1" applyAlignment="1">
      <alignment horizontal="left" vertical="center"/>
    </xf>
    <xf numFmtId="14" fontId="3" fillId="0" borderId="5" xfId="5" applyNumberFormat="1" applyFont="1" applyBorder="1" applyAlignment="1">
      <alignment horizontal="left" vertical="center"/>
    </xf>
    <xf numFmtId="14" fontId="3" fillId="0" borderId="6" xfId="5" applyNumberFormat="1" applyFont="1" applyBorder="1" applyAlignment="1">
      <alignment horizontal="left" vertical="center"/>
    </xf>
    <xf numFmtId="0" fontId="3" fillId="6" borderId="57" xfId="4" applyFont="1" applyFill="1" applyBorder="1" applyAlignment="1">
      <alignment horizontal="center" vertical="center"/>
    </xf>
    <xf numFmtId="0" fontId="3" fillId="6" borderId="67" xfId="4" applyFont="1" applyFill="1" applyBorder="1" applyAlignment="1">
      <alignment horizontal="center" vertical="center"/>
    </xf>
    <xf numFmtId="0" fontId="3" fillId="0" borderId="5" xfId="5" applyFont="1" applyBorder="1"/>
    <xf numFmtId="0" fontId="3" fillId="0" borderId="7" xfId="5" applyFont="1" applyBorder="1"/>
    <xf numFmtId="0" fontId="3" fillId="0" borderId="6" xfId="5" applyFont="1" applyBorder="1"/>
    <xf numFmtId="0" fontId="3" fillId="0" borderId="5" xfId="5" applyFont="1" applyBorder="1" applyAlignment="1">
      <alignment horizontal="left"/>
    </xf>
    <xf numFmtId="0" fontId="3" fillId="0" borderId="7" xfId="5" applyFont="1" applyBorder="1" applyAlignment="1">
      <alignment horizontal="left"/>
    </xf>
    <xf numFmtId="0" fontId="3" fillId="0" borderId="6" xfId="5" applyFont="1" applyBorder="1" applyAlignment="1">
      <alignment horizontal="left"/>
    </xf>
    <xf numFmtId="0" fontId="4" fillId="0" borderId="42" xfId="5" applyFont="1" applyBorder="1"/>
    <xf numFmtId="0" fontId="4" fillId="0" borderId="0" xfId="5" applyFont="1"/>
    <xf numFmtId="0" fontId="4" fillId="0" borderId="44" xfId="5" applyFont="1" applyBorder="1"/>
    <xf numFmtId="2" fontId="4" fillId="0" borderId="42" xfId="5" applyNumberFormat="1" applyFont="1" applyBorder="1" applyAlignment="1">
      <alignment horizontal="center"/>
    </xf>
    <xf numFmtId="2" fontId="4" fillId="0" borderId="0" xfId="5" applyNumberFormat="1" applyFont="1" applyAlignment="1">
      <alignment horizontal="center"/>
    </xf>
    <xf numFmtId="2" fontId="4" fillId="0" borderId="44" xfId="5" applyNumberFormat="1" applyFont="1" applyBorder="1" applyAlignment="1">
      <alignment horizontal="center"/>
    </xf>
    <xf numFmtId="0" fontId="3" fillId="6" borderId="53" xfId="4" applyFont="1" applyFill="1" applyBorder="1" applyAlignment="1">
      <alignment horizontal="center" vertical="center"/>
    </xf>
    <xf numFmtId="0" fontId="3" fillId="6" borderId="61" xfId="4" applyFont="1" applyFill="1" applyBorder="1" applyAlignment="1">
      <alignment horizontal="center" vertical="center"/>
    </xf>
    <xf numFmtId="0" fontId="3" fillId="6" borderId="54" xfId="4" applyFont="1" applyFill="1" applyBorder="1" applyAlignment="1">
      <alignment horizontal="center" vertical="center"/>
    </xf>
    <xf numFmtId="0" fontId="3" fillId="6" borderId="35" xfId="4" applyFont="1" applyFill="1" applyBorder="1" applyAlignment="1">
      <alignment horizontal="center" vertical="center"/>
    </xf>
    <xf numFmtId="0" fontId="3" fillId="6" borderId="55" xfId="4" applyFont="1" applyFill="1" applyBorder="1" applyAlignment="1">
      <alignment horizontal="center" vertical="center"/>
    </xf>
    <xf numFmtId="0" fontId="3" fillId="6" borderId="66" xfId="4" applyFont="1" applyFill="1" applyBorder="1" applyAlignment="1">
      <alignment horizontal="center" vertical="center"/>
    </xf>
    <xf numFmtId="0" fontId="4" fillId="0" borderId="52" xfId="5" applyFont="1" applyBorder="1"/>
    <xf numFmtId="0" fontId="4" fillId="0" borderId="50" xfId="5" applyFont="1" applyBorder="1"/>
    <xf numFmtId="0" fontId="4" fillId="0" borderId="51" xfId="5" applyFont="1" applyBorder="1"/>
    <xf numFmtId="0" fontId="3" fillId="0" borderId="7" xfId="5" applyFont="1" applyBorder="1" applyAlignment="1">
      <alignment horizontal="left" vertical="center"/>
    </xf>
    <xf numFmtId="14" fontId="3" fillId="0" borderId="7" xfId="5" applyNumberFormat="1" applyFont="1" applyBorder="1" applyAlignment="1">
      <alignment horizontal="left" vertical="center"/>
    </xf>
    <xf numFmtId="0" fontId="9" fillId="0" borderId="25" xfId="2" applyFont="1" applyBorder="1" applyAlignment="1" applyProtection="1">
      <alignment horizontal="left" vertical="center"/>
      <protection locked="0"/>
    </xf>
    <xf numFmtId="0" fontId="9" fillId="0" borderId="7" xfId="2" applyFont="1" applyBorder="1" applyAlignment="1" applyProtection="1">
      <alignment horizontal="left" vertical="center"/>
      <protection locked="0"/>
    </xf>
    <xf numFmtId="0" fontId="9" fillId="0" borderId="29" xfId="2" applyFont="1" applyBorder="1" applyAlignment="1" applyProtection="1">
      <alignment horizontal="left" vertical="center"/>
      <protection locked="0"/>
    </xf>
    <xf numFmtId="0" fontId="9" fillId="0" borderId="25" xfId="2" applyFont="1" applyBorder="1" applyAlignment="1" applyProtection="1">
      <alignment horizontal="center"/>
      <protection locked="0"/>
    </xf>
    <xf numFmtId="0" fontId="9" fillId="0" borderId="7" xfId="2" applyFont="1" applyBorder="1" applyAlignment="1" applyProtection="1">
      <alignment horizontal="center"/>
      <protection locked="0"/>
    </xf>
    <xf numFmtId="0" fontId="9" fillId="0" borderId="29" xfId="2" applyFont="1" applyBorder="1" applyAlignment="1" applyProtection="1">
      <alignment horizontal="center"/>
      <protection locked="0"/>
    </xf>
    <xf numFmtId="0" fontId="9" fillId="0" borderId="34" xfId="2" applyFont="1" applyBorder="1" applyAlignment="1" applyProtection="1">
      <alignment horizontal="left" vertical="center"/>
      <protection locked="0"/>
    </xf>
    <xf numFmtId="0" fontId="9" fillId="0" borderId="30" xfId="2" applyFont="1" applyBorder="1" applyAlignment="1" applyProtection="1">
      <alignment horizontal="center"/>
      <protection locked="0"/>
    </xf>
    <xf numFmtId="0" fontId="9" fillId="0" borderId="41" xfId="2" applyFont="1" applyBorder="1" applyAlignment="1" applyProtection="1">
      <alignment horizontal="center"/>
      <protection locked="0"/>
    </xf>
    <xf numFmtId="0" fontId="9" fillId="0" borderId="36" xfId="2" applyFont="1" applyBorder="1" applyAlignment="1" applyProtection="1">
      <alignment horizontal="center"/>
      <protection locked="0"/>
    </xf>
    <xf numFmtId="0" fontId="9" fillId="0" borderId="28" xfId="2" applyFont="1" applyBorder="1" applyAlignment="1" applyProtection="1">
      <alignment horizontal="left" vertical="center"/>
      <protection locked="0"/>
    </xf>
    <xf numFmtId="0" fontId="9" fillId="0" borderId="25" xfId="2" applyFont="1" applyBorder="1" applyAlignment="1" applyProtection="1">
      <alignment vertical="center"/>
      <protection locked="0"/>
    </xf>
    <xf numFmtId="0" fontId="9" fillId="0" borderId="7" xfId="2" applyFont="1" applyBorder="1" applyAlignment="1" applyProtection="1">
      <alignment vertical="center"/>
      <protection locked="0"/>
    </xf>
    <xf numFmtId="0" fontId="9" fillId="0" borderId="29" xfId="2" applyFont="1" applyBorder="1" applyAlignment="1" applyProtection="1">
      <alignment vertical="center"/>
      <protection locked="0"/>
    </xf>
    <xf numFmtId="0" fontId="9" fillId="0" borderId="26" xfId="2" applyFont="1" applyBorder="1" applyAlignment="1" applyProtection="1">
      <alignment horizontal="left" vertical="center"/>
      <protection locked="0"/>
    </xf>
    <xf numFmtId="0" fontId="9" fillId="0" borderId="1" xfId="2" applyFont="1" applyBorder="1" applyAlignment="1" applyProtection="1">
      <alignment horizontal="left" vertical="center"/>
      <protection locked="0"/>
    </xf>
    <xf numFmtId="0" fontId="9" fillId="0" borderId="27" xfId="2" applyFont="1" applyBorder="1" applyAlignment="1" applyProtection="1">
      <alignment horizontal="left" vertical="center"/>
      <protection locked="0"/>
    </xf>
    <xf numFmtId="0" fontId="9" fillId="0" borderId="31" xfId="2" applyFont="1" applyBorder="1" applyAlignment="1" applyProtection="1">
      <alignment horizontal="left" vertical="center"/>
      <protection locked="0"/>
    </xf>
    <xf numFmtId="0" fontId="9" fillId="0" borderId="32" xfId="2" applyFont="1" applyBorder="1" applyAlignment="1" applyProtection="1">
      <alignment horizontal="left" vertical="center"/>
      <protection locked="0"/>
    </xf>
    <xf numFmtId="0" fontId="9" fillId="0" borderId="33" xfId="2" applyFont="1" applyBorder="1" applyAlignment="1" applyProtection="1">
      <alignment horizontal="left" vertical="center"/>
      <protection locked="0"/>
    </xf>
    <xf numFmtId="0" fontId="8" fillId="0" borderId="0" xfId="2" applyFont="1" applyAlignment="1" applyProtection="1">
      <alignment horizontal="left"/>
      <protection locked="0"/>
    </xf>
    <xf numFmtId="0" fontId="8" fillId="6" borderId="37" xfId="2" applyFont="1" applyFill="1" applyBorder="1" applyAlignment="1" applyProtection="1">
      <alignment horizontal="center" vertical="center"/>
      <protection locked="0"/>
    </xf>
    <xf numFmtId="0" fontId="8" fillId="6" borderId="38" xfId="2" applyFont="1" applyFill="1" applyBorder="1" applyAlignment="1" applyProtection="1">
      <alignment horizontal="center" vertical="center"/>
      <protection locked="0"/>
    </xf>
    <xf numFmtId="0" fontId="8" fillId="6" borderId="39" xfId="2" applyFont="1" applyFill="1" applyBorder="1" applyAlignment="1" applyProtection="1">
      <alignment horizontal="center" vertical="center"/>
      <protection locked="0"/>
    </xf>
    <xf numFmtId="0" fontId="8" fillId="6" borderId="40" xfId="2" applyFont="1" applyFill="1" applyBorder="1" applyAlignment="1" applyProtection="1">
      <alignment horizontal="center" vertical="center"/>
      <protection locked="0"/>
    </xf>
    <xf numFmtId="0" fontId="8" fillId="6" borderId="12" xfId="2" applyFont="1" applyFill="1" applyBorder="1" applyAlignment="1" applyProtection="1">
      <alignment horizontal="center" vertical="center"/>
      <protection locked="0"/>
    </xf>
    <xf numFmtId="0" fontId="8" fillId="6" borderId="13" xfId="2" applyFont="1" applyFill="1" applyBorder="1" applyAlignment="1" applyProtection="1">
      <alignment horizontal="center" vertical="center"/>
      <protection locked="0"/>
    </xf>
    <xf numFmtId="0" fontId="8" fillId="6" borderId="14" xfId="2" applyFont="1" applyFill="1" applyBorder="1" applyAlignment="1" applyProtection="1">
      <alignment horizontal="center" vertical="center"/>
      <protection locked="0"/>
    </xf>
    <xf numFmtId="0" fontId="9" fillId="0" borderId="18" xfId="2" applyFont="1" applyBorder="1" applyAlignment="1" applyProtection="1">
      <alignment horizontal="left" vertical="center"/>
      <protection locked="0"/>
    </xf>
    <xf numFmtId="0" fontId="9" fillId="0" borderId="10" xfId="2" applyFont="1" applyBorder="1" applyAlignment="1" applyProtection="1">
      <alignment horizontal="left" vertical="center"/>
      <protection locked="0"/>
    </xf>
    <xf numFmtId="0" fontId="9" fillId="0" borderId="19" xfId="2" applyFont="1" applyBorder="1" applyAlignment="1" applyProtection="1">
      <alignment horizontal="left" vertical="center"/>
      <protection locked="0"/>
    </xf>
    <xf numFmtId="0" fontId="5" fillId="3" borderId="1" xfId="5" applyFill="1" applyBorder="1" applyAlignment="1" applyProtection="1">
      <alignment horizontal="left" vertical="center"/>
      <protection locked="0"/>
    </xf>
    <xf numFmtId="0" fontId="10" fillId="3" borderId="1" xfId="5" applyFont="1" applyFill="1" applyBorder="1" applyAlignment="1" applyProtection="1">
      <alignment horizontal="center" vertical="center"/>
      <protection locked="0"/>
    </xf>
    <xf numFmtId="2" fontId="5" fillId="3" borderId="1" xfId="5" applyNumberFormat="1" applyFill="1" applyBorder="1" applyAlignment="1" applyProtection="1">
      <alignment horizontal="center" vertical="center"/>
      <protection locked="0"/>
    </xf>
    <xf numFmtId="0" fontId="5" fillId="3" borderId="27" xfId="5" applyFill="1" applyBorder="1" applyAlignment="1" applyProtection="1">
      <alignment horizontal="center" vertical="center"/>
      <protection locked="0"/>
    </xf>
    <xf numFmtId="0" fontId="5" fillId="3" borderId="1" xfId="5" applyFill="1" applyBorder="1" applyAlignment="1">
      <alignment vertical="center" wrapText="1"/>
    </xf>
  </cellXfs>
  <cellStyles count="13">
    <cellStyle name="Procent 2" xfId="3" xr:uid="{3E69E2FA-C7AC-4DBA-B916-F1018B035554}"/>
    <cellStyle name="Procent 2 2" xfId="12" xr:uid="{46482739-48FB-4067-A55D-692F7E2D4B80}"/>
    <cellStyle name="Procent 2 3" xfId="8" xr:uid="{C5397BD6-4AA3-410E-93A5-AA84297FB0C0}"/>
    <cellStyle name="Standaard" xfId="0" builtinId="0"/>
    <cellStyle name="Standaard 2" xfId="2" xr:uid="{43661C66-B6B1-4673-8B55-43E33974CDEE}"/>
    <cellStyle name="Standaard 2 2" xfId="11" xr:uid="{BD915687-1F4B-49C2-84EE-BAFADB7DA9A6}"/>
    <cellStyle name="Standaard 2 3" xfId="7" xr:uid="{8B80CE6E-D329-4004-AA7A-AB033982D5E6}"/>
    <cellStyle name="Standaard 3" xfId="5" xr:uid="{9F6F7F6D-1013-489C-BC09-C5DC612A926F}"/>
    <cellStyle name="Standaard 4" xfId="9" xr:uid="{048008E3-1BFF-493F-8456-06792123EB26}"/>
    <cellStyle name="Standaard 5" xfId="4" xr:uid="{CB4E0B57-E14B-4C45-AC89-4554CE2676B4}"/>
    <cellStyle name="Standaard 6" xfId="1" xr:uid="{00000000-0005-0000-0000-000001000000}"/>
    <cellStyle name="Standaard 6 2" xfId="10" xr:uid="{14585524-F40F-4B5A-941F-B269DCC910C1}"/>
    <cellStyle name="Standaard 6 3" xfId="6" xr:uid="{EC4806A4-4270-4F13-BA19-8F9474703584}"/>
  </cellStyles>
  <dxfs count="0"/>
  <tableStyles count="0" defaultTableStyle="TableStyleMedium2" defaultPivotStyle="PivotStyleLight16"/>
  <colors>
    <mruColors>
      <color rgb="FF8D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571500</xdr:colOff>
      <xdr:row>0</xdr:row>
      <xdr:rowOff>44823</xdr:rowOff>
    </xdr:from>
    <xdr:to>
      <xdr:col>17</xdr:col>
      <xdr:colOff>3340779</xdr:colOff>
      <xdr:row>5</xdr:row>
      <xdr:rowOff>11841</xdr:rowOff>
    </xdr:to>
    <xdr:pic>
      <xdr:nvPicPr>
        <xdr:cNvPr id="4" name="Afbeelding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1706" y="44823"/>
          <a:ext cx="2769279" cy="7514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47624</xdr:colOff>
      <xdr:row>0</xdr:row>
      <xdr:rowOff>0</xdr:rowOff>
    </xdr:from>
    <xdr:to>
      <xdr:col>40</xdr:col>
      <xdr:colOff>130968</xdr:colOff>
      <xdr:row>5</xdr:row>
      <xdr:rowOff>9525</xdr:rowOff>
    </xdr:to>
    <xdr:pic>
      <xdr:nvPicPr>
        <xdr:cNvPr id="2" name="Afbeelding 1" descr="Afbeelding met Lettertype, Graphics, schermopname, grafische vormgeving&#10;&#10;Automatisch gegenereerde beschrijving">
          <a:extLst>
            <a:ext uri="{FF2B5EF4-FFF2-40B4-BE49-F238E27FC236}">
              <a16:creationId xmlns:a16="http://schemas.microsoft.com/office/drawing/2014/main" id="{55A66A4F-D86E-6FA7-EFD2-5E52D44B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23093" y="0"/>
          <a:ext cx="3559969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455084</xdr:colOff>
      <xdr:row>0</xdr:row>
      <xdr:rowOff>97367</xdr:rowOff>
    </xdr:from>
    <xdr:to>
      <xdr:col>24</xdr:col>
      <xdr:colOff>3259667</xdr:colOff>
      <xdr:row>4</xdr:row>
      <xdr:rowOff>95011</xdr:rowOff>
    </xdr:to>
    <xdr:pic>
      <xdr:nvPicPr>
        <xdr:cNvPr id="2" name="Afbeelding 1" descr="Afbeelding met Lettertype, Graphics, schermopname, grafische vormgeving&#10;&#10;Automatisch gegenereerde beschrijving">
          <a:extLst>
            <a:ext uri="{FF2B5EF4-FFF2-40B4-BE49-F238E27FC236}">
              <a16:creationId xmlns:a16="http://schemas.microsoft.com/office/drawing/2014/main" id="{F21A494A-E2A2-EE5B-5540-35FEBBD89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6501" y="97367"/>
          <a:ext cx="2804583" cy="759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4A2C3-607D-4BD2-9A89-FBEAF88C5258}">
  <sheetPr>
    <tabColor indexed="11"/>
    <pageSetUpPr fitToPage="1"/>
  </sheetPr>
  <dimension ref="A1:R274"/>
  <sheetViews>
    <sheetView showGridLines="0" tabSelected="1" view="pageBreakPreview" zoomScale="85" zoomScaleNormal="90" zoomScaleSheetLayoutView="85" workbookViewId="0">
      <pane ySplit="21" topLeftCell="A22" activePane="bottomLeft" state="frozen"/>
      <selection pane="bottomLeft" activeCell="B11" sqref="B11:C11"/>
    </sheetView>
  </sheetViews>
  <sheetFormatPr defaultRowHeight="12.75" x14ac:dyDescent="0.2"/>
  <cols>
    <col min="1" max="1" width="17.28515625" style="169" bestFit="1" customWidth="1"/>
    <col min="2" max="2" width="53.28515625" style="222" customWidth="1"/>
    <col min="3" max="3" width="18.7109375" style="223" customWidth="1"/>
    <col min="4" max="10" width="4.7109375" style="223" customWidth="1"/>
    <col min="11" max="11" width="8.140625" style="224" customWidth="1"/>
    <col min="12" max="12" width="7.7109375" style="224" customWidth="1"/>
    <col min="13" max="13" width="8.42578125" style="223" customWidth="1"/>
    <col min="14" max="14" width="4.7109375" style="223" hidden="1" customWidth="1"/>
    <col min="15" max="15" width="10.7109375" style="223" customWidth="1"/>
    <col min="16" max="16" width="11.7109375" style="223" bestFit="1" customWidth="1"/>
    <col min="17" max="17" width="13.140625" style="223" bestFit="1" customWidth="1"/>
    <col min="18" max="18" width="50.42578125" style="223" bestFit="1" customWidth="1"/>
    <col min="19" max="16384" width="9.140625" style="142"/>
  </cols>
  <sheetData>
    <row r="1" spans="1:18" x14ac:dyDescent="0.2">
      <c r="A1" s="254" t="s">
        <v>0</v>
      </c>
      <c r="B1" s="255"/>
      <c r="C1" s="256"/>
      <c r="D1" s="259"/>
      <c r="E1" s="258"/>
      <c r="F1" s="258"/>
      <c r="G1" s="258"/>
      <c r="H1" s="258"/>
      <c r="I1" s="258"/>
      <c r="J1" s="258"/>
      <c r="K1" s="262"/>
      <c r="L1" s="262"/>
      <c r="M1" s="260"/>
      <c r="N1" s="260"/>
      <c r="O1" s="260"/>
      <c r="P1" s="260"/>
      <c r="Q1" s="260"/>
      <c r="R1" s="261"/>
    </row>
    <row r="2" spans="1:18" x14ac:dyDescent="0.2">
      <c r="A2" s="254" t="s">
        <v>1</v>
      </c>
      <c r="B2" s="255"/>
      <c r="C2" s="256"/>
      <c r="D2" s="259"/>
      <c r="E2" s="258"/>
      <c r="F2" s="258"/>
      <c r="G2" s="258"/>
      <c r="H2" s="258"/>
      <c r="I2" s="258"/>
      <c r="J2" s="258"/>
      <c r="K2" s="262"/>
      <c r="L2" s="262"/>
      <c r="M2" s="260"/>
      <c r="N2" s="260"/>
      <c r="O2" s="260"/>
      <c r="P2" s="260"/>
      <c r="Q2" s="260"/>
      <c r="R2" s="261"/>
    </row>
    <row r="3" spans="1:18" x14ac:dyDescent="0.2">
      <c r="A3" s="254" t="s">
        <v>2</v>
      </c>
      <c r="B3" s="255"/>
      <c r="C3" s="256"/>
      <c r="D3" s="259"/>
      <c r="E3" s="258"/>
      <c r="F3" s="258"/>
      <c r="G3" s="258"/>
      <c r="H3" s="258"/>
      <c r="I3" s="258"/>
      <c r="J3" s="258"/>
      <c r="K3" s="262"/>
      <c r="L3" s="262"/>
      <c r="M3" s="260"/>
      <c r="N3" s="260"/>
      <c r="O3" s="260"/>
      <c r="P3" s="260"/>
      <c r="Q3" s="260"/>
      <c r="R3" s="261"/>
    </row>
    <row r="4" spans="1:18" x14ac:dyDescent="0.2">
      <c r="A4" s="257" t="s">
        <v>3</v>
      </c>
      <c r="B4" s="255"/>
      <c r="C4" s="256"/>
      <c r="D4" s="259"/>
      <c r="E4" s="258"/>
      <c r="F4" s="258"/>
      <c r="G4" s="258"/>
      <c r="H4" s="258"/>
      <c r="I4" s="258"/>
      <c r="J4" s="258"/>
      <c r="K4" s="262"/>
      <c r="L4" s="262"/>
      <c r="M4" s="260"/>
      <c r="N4" s="260"/>
      <c r="O4" s="260"/>
      <c r="P4" s="260"/>
      <c r="Q4" s="260"/>
      <c r="R4" s="261"/>
    </row>
    <row r="5" spans="1:18" x14ac:dyDescent="0.2">
      <c r="A5" s="257" t="s">
        <v>4</v>
      </c>
      <c r="B5" s="255"/>
      <c r="C5" s="256"/>
      <c r="D5" s="259"/>
      <c r="E5" s="258"/>
      <c r="F5" s="258"/>
      <c r="G5" s="258"/>
      <c r="H5" s="258"/>
      <c r="I5" s="258"/>
      <c r="J5" s="258"/>
      <c r="K5" s="262"/>
      <c r="L5" s="262"/>
      <c r="M5" s="260"/>
      <c r="N5" s="260"/>
      <c r="O5" s="260"/>
      <c r="P5" s="260"/>
      <c r="Q5" s="260"/>
      <c r="R5" s="261"/>
    </row>
    <row r="6" spans="1:18" x14ac:dyDescent="0.2">
      <c r="A6" s="143"/>
      <c r="B6" s="141"/>
      <c r="C6" s="141"/>
      <c r="D6" s="144"/>
      <c r="E6" s="144"/>
      <c r="F6" s="144"/>
      <c r="G6" s="144"/>
      <c r="H6" s="144"/>
      <c r="I6" s="144"/>
      <c r="J6" s="144"/>
      <c r="K6" s="145"/>
      <c r="L6" s="145"/>
      <c r="M6" s="146"/>
      <c r="N6" s="146"/>
      <c r="O6" s="146"/>
      <c r="P6" s="146"/>
      <c r="Q6" s="146"/>
      <c r="R6" s="146"/>
    </row>
    <row r="7" spans="1:18" x14ac:dyDescent="0.2">
      <c r="A7" s="147" t="s">
        <v>5</v>
      </c>
      <c r="B7" s="253" t="s">
        <v>214</v>
      </c>
      <c r="C7" s="253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</row>
    <row r="8" spans="1:18" ht="15" customHeight="1" x14ac:dyDescent="0.2">
      <c r="A8" s="147" t="s">
        <v>7</v>
      </c>
      <c r="B8" s="253">
        <v>2605577</v>
      </c>
      <c r="C8" s="253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</row>
    <row r="9" spans="1:18" ht="15" customHeight="1" x14ac:dyDescent="0.2">
      <c r="A9" s="147" t="s">
        <v>8</v>
      </c>
      <c r="B9" s="253" t="s">
        <v>215</v>
      </c>
      <c r="C9" s="253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</row>
    <row r="10" spans="1:18" ht="15" customHeight="1" x14ac:dyDescent="0.2">
      <c r="A10" s="147" t="s">
        <v>10</v>
      </c>
      <c r="B10" s="253" t="s">
        <v>11</v>
      </c>
      <c r="C10" s="253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</row>
    <row r="11" spans="1:18" ht="15" customHeight="1" x14ac:dyDescent="0.2">
      <c r="A11" s="147" t="s">
        <v>12</v>
      </c>
      <c r="B11" s="252">
        <v>46237</v>
      </c>
      <c r="C11" s="253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</row>
    <row r="12" spans="1:18" ht="15" customHeight="1" x14ac:dyDescent="0.2">
      <c r="A12" s="148"/>
      <c r="B12" s="149"/>
      <c r="C12" s="150"/>
      <c r="D12" s="151"/>
      <c r="E12" s="151"/>
      <c r="F12" s="151"/>
      <c r="G12" s="151"/>
      <c r="H12" s="152"/>
      <c r="I12" s="151"/>
      <c r="J12" s="152"/>
      <c r="K12" s="153"/>
      <c r="L12" s="153"/>
      <c r="M12" s="153"/>
      <c r="N12" s="153"/>
      <c r="O12" s="153"/>
      <c r="P12" s="153"/>
      <c r="Q12" s="153"/>
      <c r="R12" s="153"/>
    </row>
    <row r="13" spans="1:18" ht="15" customHeight="1" x14ac:dyDescent="0.2">
      <c r="A13" s="154"/>
      <c r="B13" s="155"/>
      <c r="C13" s="154"/>
      <c r="D13" s="156"/>
      <c r="E13" s="156"/>
      <c r="F13" s="156"/>
      <c r="G13" s="156"/>
      <c r="H13" s="157"/>
      <c r="I13" s="156"/>
      <c r="J13" s="157"/>
      <c r="K13" s="158"/>
      <c r="L13" s="158"/>
      <c r="M13" s="158"/>
      <c r="N13" s="158"/>
      <c r="O13" s="158"/>
      <c r="P13" s="158"/>
      <c r="Q13" s="158"/>
      <c r="R13" s="158"/>
    </row>
    <row r="14" spans="1:18" ht="15" customHeight="1" x14ac:dyDescent="0.2">
      <c r="A14" s="159" t="s">
        <v>13</v>
      </c>
      <c r="B14" s="160"/>
      <c r="C14" s="161"/>
      <c r="D14" s="246" t="s">
        <v>14</v>
      </c>
      <c r="E14" s="246" t="s">
        <v>15</v>
      </c>
      <c r="F14" s="246" t="s">
        <v>16</v>
      </c>
      <c r="G14" s="246" t="s">
        <v>17</v>
      </c>
      <c r="H14" s="249" t="s">
        <v>18</v>
      </c>
      <c r="I14" s="246" t="s">
        <v>19</v>
      </c>
      <c r="J14" s="249" t="s">
        <v>20</v>
      </c>
      <c r="K14" s="240" t="s">
        <v>21</v>
      </c>
      <c r="L14" s="240" t="s">
        <v>22</v>
      </c>
      <c r="M14" s="240" t="s">
        <v>23</v>
      </c>
      <c r="N14" s="162"/>
      <c r="O14" s="240" t="s">
        <v>24</v>
      </c>
      <c r="P14" s="240" t="s">
        <v>25</v>
      </c>
      <c r="Q14" s="240" t="s">
        <v>26</v>
      </c>
      <c r="R14" s="243" t="s">
        <v>27</v>
      </c>
    </row>
    <row r="15" spans="1:18" ht="15" customHeight="1" x14ac:dyDescent="0.2">
      <c r="A15" s="163" t="s">
        <v>28</v>
      </c>
      <c r="B15" s="164"/>
      <c r="C15" s="142"/>
      <c r="D15" s="247"/>
      <c r="E15" s="247"/>
      <c r="F15" s="247"/>
      <c r="G15" s="247"/>
      <c r="H15" s="250"/>
      <c r="I15" s="247"/>
      <c r="J15" s="250"/>
      <c r="K15" s="241"/>
      <c r="L15" s="241"/>
      <c r="M15" s="241"/>
      <c r="N15" s="165"/>
      <c r="O15" s="241"/>
      <c r="P15" s="241"/>
      <c r="Q15" s="241"/>
      <c r="R15" s="244"/>
    </row>
    <row r="16" spans="1:18" ht="15" customHeight="1" x14ac:dyDescent="0.2">
      <c r="A16" s="166" t="s">
        <v>29</v>
      </c>
      <c r="B16" s="167"/>
      <c r="C16" s="168" t="s">
        <v>30</v>
      </c>
      <c r="D16" s="247"/>
      <c r="E16" s="247"/>
      <c r="F16" s="247"/>
      <c r="G16" s="247"/>
      <c r="H16" s="250"/>
      <c r="I16" s="247"/>
      <c r="J16" s="250"/>
      <c r="K16" s="241"/>
      <c r="L16" s="241"/>
      <c r="M16" s="241"/>
      <c r="N16" s="165"/>
      <c r="O16" s="241"/>
      <c r="P16" s="241"/>
      <c r="Q16" s="241"/>
      <c r="R16" s="244"/>
    </row>
    <row r="17" spans="1:18" ht="15" customHeight="1" x14ac:dyDescent="0.2">
      <c r="B17" s="142"/>
      <c r="C17" s="142"/>
      <c r="D17" s="247"/>
      <c r="E17" s="247"/>
      <c r="F17" s="247"/>
      <c r="G17" s="247"/>
      <c r="H17" s="250"/>
      <c r="I17" s="247"/>
      <c r="J17" s="250"/>
      <c r="K17" s="241"/>
      <c r="L17" s="241"/>
      <c r="M17" s="241"/>
      <c r="N17" s="165"/>
      <c r="O17" s="241"/>
      <c r="P17" s="241"/>
      <c r="Q17" s="241"/>
      <c r="R17" s="244"/>
    </row>
    <row r="18" spans="1:18" ht="15" customHeight="1" x14ac:dyDescent="0.2">
      <c r="B18" s="142"/>
      <c r="C18" s="142"/>
      <c r="D18" s="247"/>
      <c r="E18" s="247"/>
      <c r="F18" s="247"/>
      <c r="G18" s="247"/>
      <c r="H18" s="250"/>
      <c r="I18" s="247"/>
      <c r="J18" s="250"/>
      <c r="K18" s="241"/>
      <c r="L18" s="241"/>
      <c r="M18" s="241"/>
      <c r="N18" s="165"/>
      <c r="O18" s="241"/>
      <c r="P18" s="241"/>
      <c r="Q18" s="241"/>
      <c r="R18" s="244"/>
    </row>
    <row r="19" spans="1:18" ht="15" customHeight="1" x14ac:dyDescent="0.2">
      <c r="B19" s="142"/>
      <c r="C19" s="142"/>
      <c r="D19" s="247"/>
      <c r="E19" s="247"/>
      <c r="F19" s="247"/>
      <c r="G19" s="247"/>
      <c r="H19" s="250"/>
      <c r="I19" s="247"/>
      <c r="J19" s="250"/>
      <c r="K19" s="241"/>
      <c r="L19" s="241"/>
      <c r="M19" s="241"/>
      <c r="N19" s="165"/>
      <c r="O19" s="241"/>
      <c r="P19" s="241"/>
      <c r="Q19" s="241"/>
      <c r="R19" s="244"/>
    </row>
    <row r="20" spans="1:18" ht="15" customHeight="1" x14ac:dyDescent="0.2">
      <c r="A20" s="170"/>
      <c r="B20" s="171"/>
      <c r="C20" s="172"/>
      <c r="D20" s="248"/>
      <c r="E20" s="248"/>
      <c r="F20" s="248"/>
      <c r="G20" s="248"/>
      <c r="H20" s="251"/>
      <c r="I20" s="248"/>
      <c r="J20" s="251"/>
      <c r="K20" s="241"/>
      <c r="L20" s="241"/>
      <c r="M20" s="241"/>
      <c r="N20" s="173" t="s">
        <v>31</v>
      </c>
      <c r="O20" s="241"/>
      <c r="P20" s="241"/>
      <c r="Q20" s="241"/>
      <c r="R20" s="244"/>
    </row>
    <row r="21" spans="1:18" s="178" customFormat="1" x14ac:dyDescent="0.2">
      <c r="A21" s="174" t="s">
        <v>32</v>
      </c>
      <c r="B21" s="147" t="s">
        <v>6</v>
      </c>
      <c r="C21" s="175" t="s">
        <v>33</v>
      </c>
      <c r="D21" s="176" t="s">
        <v>34</v>
      </c>
      <c r="E21" s="176" t="s">
        <v>35</v>
      </c>
      <c r="F21" s="176" t="s">
        <v>36</v>
      </c>
      <c r="G21" s="176" t="s">
        <v>37</v>
      </c>
      <c r="H21" s="176" t="s">
        <v>38</v>
      </c>
      <c r="I21" s="176" t="s">
        <v>39</v>
      </c>
      <c r="J21" s="176" t="s">
        <v>40</v>
      </c>
      <c r="K21" s="242"/>
      <c r="L21" s="242"/>
      <c r="M21" s="242"/>
      <c r="N21" s="177"/>
      <c r="O21" s="242"/>
      <c r="P21" s="242"/>
      <c r="Q21" s="242"/>
      <c r="R21" s="245"/>
    </row>
    <row r="22" spans="1:18" s="179" customFormat="1" ht="18.95" customHeight="1" x14ac:dyDescent="0.2">
      <c r="A22" s="225"/>
      <c r="B22" s="226" t="s">
        <v>41</v>
      </c>
      <c r="C22" s="227"/>
      <c r="D22" s="228"/>
      <c r="E22" s="228"/>
      <c r="F22" s="228"/>
      <c r="G22" s="228"/>
      <c r="H22" s="228"/>
      <c r="I22" s="228"/>
      <c r="J22" s="228"/>
      <c r="K22" s="229"/>
      <c r="L22" s="229"/>
      <c r="M22" s="228"/>
      <c r="N22" s="228"/>
      <c r="O22" s="228"/>
      <c r="P22" s="228"/>
      <c r="Q22" s="228"/>
      <c r="R22" s="230"/>
    </row>
    <row r="23" spans="1:18" s="182" customFormat="1" ht="18.95" customHeight="1" x14ac:dyDescent="0.2">
      <c r="A23" s="180"/>
      <c r="B23" s="234" t="s">
        <v>126</v>
      </c>
      <c r="C23" s="239"/>
      <c r="D23" s="232" t="s">
        <v>42</v>
      </c>
      <c r="E23" s="232" t="s">
        <v>42</v>
      </c>
      <c r="F23" s="232">
        <v>2</v>
      </c>
      <c r="G23" s="232" t="s">
        <v>42</v>
      </c>
      <c r="H23" s="232" t="s">
        <v>42</v>
      </c>
      <c r="I23" s="232" t="s">
        <v>42</v>
      </c>
      <c r="J23" s="232" t="s">
        <v>42</v>
      </c>
      <c r="K23" s="236"/>
      <c r="L23" s="236"/>
      <c r="M23" s="232">
        <v>24</v>
      </c>
      <c r="N23" s="232"/>
      <c r="O23" s="232"/>
      <c r="P23" s="232"/>
      <c r="Q23" s="232"/>
      <c r="R23" s="232"/>
    </row>
    <row r="24" spans="1:18" ht="18.95" customHeight="1" x14ac:dyDescent="0.2">
      <c r="A24" s="183"/>
      <c r="B24" s="234" t="s">
        <v>127</v>
      </c>
      <c r="C24" s="239"/>
      <c r="D24" s="232" t="s">
        <v>42</v>
      </c>
      <c r="E24" s="232" t="s">
        <v>42</v>
      </c>
      <c r="F24" s="232" t="s">
        <v>42</v>
      </c>
      <c r="G24" s="232">
        <v>1</v>
      </c>
      <c r="H24" s="232" t="s">
        <v>42</v>
      </c>
      <c r="I24" s="232" t="s">
        <v>42</v>
      </c>
      <c r="J24" s="232" t="s">
        <v>42</v>
      </c>
      <c r="K24" s="236"/>
      <c r="L24" s="236"/>
      <c r="M24" s="232"/>
      <c r="N24" s="232"/>
      <c r="O24" s="232"/>
      <c r="P24" s="235"/>
      <c r="Q24" s="232"/>
      <c r="R24" s="232"/>
    </row>
    <row r="25" spans="1:18" ht="18.95" customHeight="1" x14ac:dyDescent="0.2">
      <c r="A25" s="183"/>
      <c r="B25" s="234" t="s">
        <v>128</v>
      </c>
      <c r="C25" s="239"/>
      <c r="D25" s="233" t="s">
        <v>42</v>
      </c>
      <c r="E25" s="233" t="s">
        <v>42</v>
      </c>
      <c r="F25" s="233" t="s">
        <v>42</v>
      </c>
      <c r="G25" s="233">
        <v>1</v>
      </c>
      <c r="H25" s="233" t="s">
        <v>42</v>
      </c>
      <c r="I25" s="232" t="s">
        <v>42</v>
      </c>
      <c r="J25" s="232" t="s">
        <v>42</v>
      </c>
      <c r="K25" s="231"/>
      <c r="L25" s="231"/>
      <c r="M25" s="233"/>
      <c r="N25" s="233"/>
      <c r="O25" s="233"/>
      <c r="P25" s="233"/>
      <c r="Q25" s="233"/>
      <c r="R25" s="233"/>
    </row>
    <row r="26" spans="1:18" ht="18.95" customHeight="1" x14ac:dyDescent="0.2">
      <c r="A26" s="183"/>
      <c r="B26" s="234" t="s">
        <v>129</v>
      </c>
      <c r="C26" s="239"/>
      <c r="D26" s="233" t="s">
        <v>42</v>
      </c>
      <c r="E26" s="233" t="s">
        <v>42</v>
      </c>
      <c r="F26" s="233" t="s">
        <v>42</v>
      </c>
      <c r="G26" s="233">
        <v>1</v>
      </c>
      <c r="H26" s="233" t="s">
        <v>42</v>
      </c>
      <c r="I26" s="232" t="s">
        <v>42</v>
      </c>
      <c r="J26" s="232" t="s">
        <v>42</v>
      </c>
      <c r="K26" s="231"/>
      <c r="L26" s="231"/>
      <c r="M26" s="233"/>
      <c r="N26" s="233"/>
      <c r="O26" s="233"/>
      <c r="P26" s="233"/>
      <c r="Q26" s="233"/>
      <c r="R26" s="233"/>
    </row>
    <row r="27" spans="1:18" ht="18.95" customHeight="1" x14ac:dyDescent="0.2">
      <c r="A27" s="183"/>
      <c r="B27" s="234" t="s">
        <v>130</v>
      </c>
      <c r="C27" s="237"/>
      <c r="D27" s="233" t="s">
        <v>42</v>
      </c>
      <c r="E27" s="233" t="s">
        <v>42</v>
      </c>
      <c r="F27" s="233" t="s">
        <v>42</v>
      </c>
      <c r="G27" s="233">
        <v>1</v>
      </c>
      <c r="H27" s="233" t="s">
        <v>42</v>
      </c>
      <c r="I27" s="233" t="s">
        <v>42</v>
      </c>
      <c r="J27" s="233" t="s">
        <v>42</v>
      </c>
      <c r="K27" s="231"/>
      <c r="L27" s="231"/>
      <c r="M27" s="233"/>
      <c r="N27" s="233"/>
      <c r="O27" s="233"/>
      <c r="P27" s="233"/>
      <c r="Q27" s="233"/>
      <c r="R27" s="233"/>
    </row>
    <row r="28" spans="1:18" ht="18.95" customHeight="1" x14ac:dyDescent="0.2">
      <c r="A28" s="183"/>
      <c r="B28" s="234" t="s">
        <v>131</v>
      </c>
      <c r="C28" s="238"/>
      <c r="D28" s="233" t="s">
        <v>42</v>
      </c>
      <c r="E28" s="233" t="s">
        <v>42</v>
      </c>
      <c r="F28" s="233" t="s">
        <v>42</v>
      </c>
      <c r="G28" s="233">
        <v>1</v>
      </c>
      <c r="H28" s="233" t="s">
        <v>42</v>
      </c>
      <c r="I28" s="233" t="s">
        <v>42</v>
      </c>
      <c r="J28" s="233" t="s">
        <v>42</v>
      </c>
      <c r="K28" s="231"/>
      <c r="L28" s="231"/>
      <c r="M28" s="233"/>
      <c r="N28" s="233"/>
      <c r="O28" s="233"/>
      <c r="P28" s="233"/>
      <c r="Q28" s="233"/>
      <c r="R28" s="187"/>
    </row>
    <row r="29" spans="1:18" ht="18.95" customHeight="1" x14ac:dyDescent="0.2">
      <c r="A29" s="183"/>
      <c r="B29" s="234" t="s">
        <v>132</v>
      </c>
      <c r="C29" s="181"/>
      <c r="D29" s="233" t="s">
        <v>42</v>
      </c>
      <c r="E29" s="233" t="s">
        <v>42</v>
      </c>
      <c r="F29" s="233" t="s">
        <v>42</v>
      </c>
      <c r="G29" s="233">
        <v>2</v>
      </c>
      <c r="H29" s="233" t="s">
        <v>42</v>
      </c>
      <c r="I29" s="233" t="s">
        <v>42</v>
      </c>
      <c r="J29" s="233" t="s">
        <v>42</v>
      </c>
      <c r="K29" s="186"/>
      <c r="L29" s="186"/>
      <c r="M29" s="185"/>
      <c r="N29" s="185"/>
      <c r="O29" s="185"/>
      <c r="P29" s="185"/>
      <c r="Q29" s="185"/>
      <c r="R29" s="187"/>
    </row>
    <row r="30" spans="1:18" ht="18.95" customHeight="1" x14ac:dyDescent="0.2">
      <c r="A30" s="183"/>
      <c r="B30" s="234" t="s">
        <v>133</v>
      </c>
      <c r="C30" s="191"/>
      <c r="D30" s="233" t="s">
        <v>42</v>
      </c>
      <c r="E30" s="233" t="s">
        <v>42</v>
      </c>
      <c r="F30" s="233" t="s">
        <v>42</v>
      </c>
      <c r="G30" s="233">
        <v>2</v>
      </c>
      <c r="H30" s="233" t="s">
        <v>42</v>
      </c>
      <c r="I30" s="233" t="s">
        <v>42</v>
      </c>
      <c r="J30" s="233" t="s">
        <v>42</v>
      </c>
      <c r="K30" s="186"/>
      <c r="L30" s="186"/>
      <c r="M30" s="185"/>
      <c r="N30" s="185"/>
      <c r="O30" s="185"/>
      <c r="P30" s="185"/>
      <c r="Q30" s="185"/>
      <c r="R30" s="187"/>
    </row>
    <row r="31" spans="1:18" ht="18.95" customHeight="1" x14ac:dyDescent="0.2">
      <c r="A31" s="183"/>
      <c r="B31" s="234" t="s">
        <v>134</v>
      </c>
      <c r="C31" s="191"/>
      <c r="D31" s="233" t="s">
        <v>42</v>
      </c>
      <c r="E31" s="233" t="s">
        <v>42</v>
      </c>
      <c r="F31" s="233" t="s">
        <v>42</v>
      </c>
      <c r="G31" s="233">
        <v>1</v>
      </c>
      <c r="H31" s="233" t="s">
        <v>42</v>
      </c>
      <c r="I31" s="233" t="s">
        <v>42</v>
      </c>
      <c r="J31" s="233" t="s">
        <v>42</v>
      </c>
      <c r="K31" s="186"/>
      <c r="L31" s="186"/>
      <c r="M31" s="185"/>
      <c r="N31" s="185"/>
      <c r="O31" s="185"/>
      <c r="P31" s="185"/>
      <c r="Q31" s="185"/>
      <c r="R31" s="187"/>
    </row>
    <row r="32" spans="1:18" ht="18.95" customHeight="1" x14ac:dyDescent="0.2">
      <c r="A32" s="183"/>
      <c r="B32" s="191"/>
      <c r="C32" s="191"/>
      <c r="D32" s="185"/>
      <c r="E32" s="185"/>
      <c r="F32" s="185"/>
      <c r="G32" s="185"/>
      <c r="H32" s="185"/>
      <c r="I32" s="185"/>
      <c r="J32" s="185"/>
      <c r="K32" s="186"/>
      <c r="L32" s="186"/>
      <c r="M32" s="185"/>
      <c r="N32" s="185"/>
      <c r="O32" s="185"/>
      <c r="P32" s="185"/>
      <c r="Q32" s="185"/>
      <c r="R32" s="187"/>
    </row>
    <row r="33" spans="1:18" ht="18.95" customHeight="1" x14ac:dyDescent="0.2">
      <c r="A33" s="225"/>
      <c r="B33" s="226" t="s">
        <v>135</v>
      </c>
      <c r="C33" s="227"/>
      <c r="D33" s="228"/>
      <c r="E33" s="228"/>
      <c r="F33" s="228"/>
      <c r="G33" s="228"/>
      <c r="H33" s="228"/>
      <c r="I33" s="228"/>
      <c r="J33" s="228"/>
      <c r="K33" s="229"/>
      <c r="L33" s="229"/>
      <c r="M33" s="228"/>
      <c r="N33" s="228"/>
      <c r="O33" s="228"/>
      <c r="P33" s="228"/>
      <c r="Q33" s="228"/>
      <c r="R33" s="230"/>
    </row>
    <row r="34" spans="1:18" ht="18.95" customHeight="1" x14ac:dyDescent="0.2">
      <c r="A34" s="183"/>
      <c r="B34" s="191" t="s">
        <v>43</v>
      </c>
      <c r="C34" s="191"/>
      <c r="D34" s="233" t="s">
        <v>42</v>
      </c>
      <c r="E34" s="233" t="s">
        <v>42</v>
      </c>
      <c r="F34" s="233" t="s">
        <v>42</v>
      </c>
      <c r="G34" s="233" t="s">
        <v>42</v>
      </c>
      <c r="H34" s="233" t="s">
        <v>42</v>
      </c>
      <c r="I34" s="233">
        <v>5</v>
      </c>
      <c r="J34" s="233">
        <v>10</v>
      </c>
      <c r="K34" s="186" t="s">
        <v>44</v>
      </c>
      <c r="L34" s="186"/>
      <c r="M34" s="185"/>
      <c r="N34" s="185"/>
      <c r="O34" s="185"/>
      <c r="P34" s="185" t="s">
        <v>139</v>
      </c>
      <c r="Q34" s="185"/>
      <c r="R34" s="187"/>
    </row>
    <row r="35" spans="1:18" ht="18.95" customHeight="1" x14ac:dyDescent="0.2">
      <c r="A35" s="183"/>
      <c r="B35" s="191" t="s">
        <v>45</v>
      </c>
      <c r="C35" s="191"/>
      <c r="D35" s="233" t="s">
        <v>42</v>
      </c>
      <c r="E35" s="233" t="s">
        <v>42</v>
      </c>
      <c r="F35" s="233" t="s">
        <v>42</v>
      </c>
      <c r="G35" s="233">
        <v>1</v>
      </c>
      <c r="H35" s="233" t="s">
        <v>42</v>
      </c>
      <c r="I35" s="233" t="s">
        <v>42</v>
      </c>
      <c r="J35" s="233" t="s">
        <v>42</v>
      </c>
      <c r="K35" s="186"/>
      <c r="L35" s="186"/>
      <c r="M35" s="185"/>
      <c r="N35" s="185"/>
      <c r="O35" s="185"/>
      <c r="P35" s="185"/>
      <c r="Q35" s="185"/>
      <c r="R35" s="187"/>
    </row>
    <row r="36" spans="1:18" ht="18.95" customHeight="1" x14ac:dyDescent="0.2">
      <c r="A36" s="183"/>
      <c r="B36" s="191" t="s">
        <v>46</v>
      </c>
      <c r="C36" s="191"/>
      <c r="D36" s="233" t="s">
        <v>42</v>
      </c>
      <c r="E36" s="233">
        <v>1</v>
      </c>
      <c r="F36" s="233" t="s">
        <v>42</v>
      </c>
      <c r="G36" s="233" t="s">
        <v>42</v>
      </c>
      <c r="H36" s="233" t="s">
        <v>42</v>
      </c>
      <c r="I36" s="233" t="s">
        <v>42</v>
      </c>
      <c r="J36" s="233" t="s">
        <v>42</v>
      </c>
      <c r="K36" s="186"/>
      <c r="L36" s="186"/>
      <c r="M36" s="185"/>
      <c r="N36" s="185"/>
      <c r="O36" s="185"/>
      <c r="P36" s="185"/>
      <c r="Q36" s="185"/>
      <c r="R36" s="187"/>
    </row>
    <row r="37" spans="1:18" ht="18.95" customHeight="1" x14ac:dyDescent="0.2">
      <c r="A37" s="183"/>
      <c r="B37" s="191" t="s">
        <v>47</v>
      </c>
      <c r="C37" s="191"/>
      <c r="D37" s="233" t="s">
        <v>42</v>
      </c>
      <c r="E37" s="233" t="s">
        <v>42</v>
      </c>
      <c r="F37" s="233" t="s">
        <v>42</v>
      </c>
      <c r="G37" s="233" t="s">
        <v>42</v>
      </c>
      <c r="H37" s="233">
        <v>1</v>
      </c>
      <c r="I37" s="233" t="s">
        <v>42</v>
      </c>
      <c r="J37" s="233" t="s">
        <v>42</v>
      </c>
      <c r="K37" s="186"/>
      <c r="L37" s="186"/>
      <c r="M37" s="185"/>
      <c r="N37" s="185"/>
      <c r="O37" s="185"/>
      <c r="P37" s="185"/>
      <c r="Q37" s="185"/>
      <c r="R37" s="187"/>
    </row>
    <row r="38" spans="1:18" ht="18.95" customHeight="1" x14ac:dyDescent="0.2">
      <c r="A38" s="183"/>
      <c r="B38" s="191" t="s">
        <v>48</v>
      </c>
      <c r="C38" s="191"/>
      <c r="D38" s="233" t="s">
        <v>42</v>
      </c>
      <c r="E38" s="233" t="s">
        <v>42</v>
      </c>
      <c r="F38" s="233" t="s">
        <v>42</v>
      </c>
      <c r="G38" s="233">
        <v>1</v>
      </c>
      <c r="H38" s="233" t="s">
        <v>42</v>
      </c>
      <c r="I38" s="233" t="s">
        <v>42</v>
      </c>
      <c r="J38" s="233" t="s">
        <v>42</v>
      </c>
      <c r="K38" s="186">
        <v>1.5</v>
      </c>
      <c r="L38" s="186"/>
      <c r="M38" s="185">
        <v>230</v>
      </c>
      <c r="N38" s="185"/>
      <c r="O38" s="185"/>
      <c r="P38" s="185"/>
      <c r="Q38" s="185"/>
      <c r="R38" s="187"/>
    </row>
    <row r="39" spans="1:18" ht="18.95" customHeight="1" x14ac:dyDescent="0.2">
      <c r="A39" s="183"/>
      <c r="B39" s="191" t="s">
        <v>49</v>
      </c>
      <c r="C39" s="191"/>
      <c r="D39" s="233" t="s">
        <v>42</v>
      </c>
      <c r="E39" s="233">
        <v>1</v>
      </c>
      <c r="F39" s="233" t="s">
        <v>42</v>
      </c>
      <c r="G39" s="233" t="s">
        <v>42</v>
      </c>
      <c r="H39" s="233" t="s">
        <v>42</v>
      </c>
      <c r="I39" s="233" t="s">
        <v>42</v>
      </c>
      <c r="J39" s="233" t="s">
        <v>42</v>
      </c>
      <c r="K39" s="186"/>
      <c r="L39" s="186"/>
      <c r="M39" s="185"/>
      <c r="N39" s="185"/>
      <c r="O39" s="185"/>
      <c r="P39" s="185"/>
      <c r="Q39" s="185"/>
      <c r="R39" s="187"/>
    </row>
    <row r="40" spans="1:18" ht="18.95" customHeight="1" x14ac:dyDescent="0.2">
      <c r="A40" s="183"/>
      <c r="B40" s="191" t="s">
        <v>136</v>
      </c>
      <c r="C40" s="191"/>
      <c r="D40" s="233" t="s">
        <v>42</v>
      </c>
      <c r="E40" s="233" t="s">
        <v>42</v>
      </c>
      <c r="F40" s="233" t="s">
        <v>42</v>
      </c>
      <c r="G40" s="233" t="s">
        <v>42</v>
      </c>
      <c r="H40" s="233">
        <v>1</v>
      </c>
      <c r="I40" s="233" t="s">
        <v>42</v>
      </c>
      <c r="J40" s="233" t="s">
        <v>42</v>
      </c>
      <c r="K40" s="186"/>
      <c r="L40" s="186"/>
      <c r="M40" s="185"/>
      <c r="N40" s="185"/>
      <c r="O40" s="185"/>
      <c r="P40" s="185"/>
      <c r="Q40" s="185"/>
      <c r="R40" s="187" t="s">
        <v>138</v>
      </c>
    </row>
    <row r="41" spans="1:18" ht="18.95" customHeight="1" x14ac:dyDescent="0.2">
      <c r="A41" s="183"/>
      <c r="B41" s="191" t="s">
        <v>61</v>
      </c>
      <c r="C41" s="191"/>
      <c r="D41" s="233" t="s">
        <v>42</v>
      </c>
      <c r="E41" s="233" t="s">
        <v>42</v>
      </c>
      <c r="F41" s="233">
        <v>1</v>
      </c>
      <c r="G41" s="233" t="s">
        <v>42</v>
      </c>
      <c r="H41" s="233" t="s">
        <v>42</v>
      </c>
      <c r="I41" s="233" t="s">
        <v>42</v>
      </c>
      <c r="J41" s="233" t="s">
        <v>42</v>
      </c>
      <c r="K41" s="186"/>
      <c r="L41" s="186"/>
      <c r="M41" s="185"/>
      <c r="N41" s="185"/>
      <c r="O41" s="185"/>
      <c r="P41" s="185"/>
      <c r="Q41" s="185" t="s">
        <v>54</v>
      </c>
      <c r="R41" s="187" t="s">
        <v>137</v>
      </c>
    </row>
    <row r="42" spans="1:18" ht="18.95" customHeight="1" x14ac:dyDescent="0.2">
      <c r="A42" s="183"/>
      <c r="B42" s="191" t="s">
        <v>63</v>
      </c>
      <c r="C42" s="191"/>
      <c r="D42" s="233" t="s">
        <v>42</v>
      </c>
      <c r="E42" s="233" t="s">
        <v>42</v>
      </c>
      <c r="F42" s="233">
        <v>1</v>
      </c>
      <c r="G42" s="233" t="s">
        <v>42</v>
      </c>
      <c r="H42" s="233" t="s">
        <v>42</v>
      </c>
      <c r="I42" s="233" t="s">
        <v>42</v>
      </c>
      <c r="J42" s="233" t="s">
        <v>42</v>
      </c>
      <c r="K42" s="186"/>
      <c r="L42" s="186"/>
      <c r="M42" s="185"/>
      <c r="N42" s="185"/>
      <c r="O42" s="185"/>
      <c r="P42" s="185"/>
      <c r="Q42" s="185" t="s">
        <v>54</v>
      </c>
      <c r="R42" s="187" t="s">
        <v>137</v>
      </c>
    </row>
    <row r="43" spans="1:18" ht="18.95" customHeight="1" x14ac:dyDescent="0.2">
      <c r="A43" s="183"/>
      <c r="B43" s="191" t="s">
        <v>144</v>
      </c>
      <c r="C43" s="191"/>
      <c r="D43" s="233" t="s">
        <v>42</v>
      </c>
      <c r="E43" s="233" t="s">
        <v>42</v>
      </c>
      <c r="F43" s="233" t="s">
        <v>42</v>
      </c>
      <c r="G43" s="233" t="s">
        <v>42</v>
      </c>
      <c r="H43" s="233" t="s">
        <v>42</v>
      </c>
      <c r="I43" s="233" t="s">
        <v>42</v>
      </c>
      <c r="J43" s="233">
        <v>4</v>
      </c>
      <c r="K43" s="186"/>
      <c r="L43" s="186">
        <v>6</v>
      </c>
      <c r="M43" s="185">
        <v>230</v>
      </c>
      <c r="N43" s="185"/>
      <c r="O43" s="185"/>
      <c r="P43" s="185" t="s">
        <v>145</v>
      </c>
      <c r="Q43" s="185"/>
      <c r="R43" s="187"/>
    </row>
    <row r="44" spans="1:18" ht="18.95" customHeight="1" x14ac:dyDescent="0.2">
      <c r="A44" s="183"/>
      <c r="B44" s="191"/>
      <c r="C44" s="191"/>
      <c r="D44" s="233"/>
      <c r="E44" s="233"/>
      <c r="F44" s="233"/>
      <c r="G44" s="233"/>
      <c r="H44" s="233"/>
      <c r="I44" s="233"/>
      <c r="J44" s="233"/>
      <c r="K44" s="186"/>
      <c r="L44" s="186"/>
      <c r="M44" s="185"/>
      <c r="N44" s="185"/>
      <c r="O44" s="185"/>
      <c r="P44" s="185"/>
      <c r="Q44" s="185"/>
      <c r="R44" s="187"/>
    </row>
    <row r="45" spans="1:18" ht="18.95" customHeight="1" x14ac:dyDescent="0.2">
      <c r="A45" s="225"/>
      <c r="B45" s="226" t="s">
        <v>140</v>
      </c>
      <c r="C45" s="227"/>
      <c r="D45" s="228"/>
      <c r="E45" s="228"/>
      <c r="F45" s="228"/>
      <c r="G45" s="228"/>
      <c r="H45" s="228"/>
      <c r="I45" s="228"/>
      <c r="J45" s="228"/>
      <c r="K45" s="229"/>
      <c r="L45" s="229"/>
      <c r="M45" s="228"/>
      <c r="N45" s="228"/>
      <c r="O45" s="228"/>
      <c r="P45" s="228"/>
      <c r="Q45" s="228"/>
      <c r="R45" s="230"/>
    </row>
    <row r="46" spans="1:18" ht="18.95" customHeight="1" x14ac:dyDescent="0.2">
      <c r="A46" s="183"/>
      <c r="B46" s="191" t="s">
        <v>43</v>
      </c>
      <c r="C46" s="191"/>
      <c r="D46" s="233" t="s">
        <v>42</v>
      </c>
      <c r="E46" s="233" t="s">
        <v>42</v>
      </c>
      <c r="F46" s="233" t="s">
        <v>42</v>
      </c>
      <c r="G46" s="233" t="s">
        <v>42</v>
      </c>
      <c r="H46" s="233" t="s">
        <v>42</v>
      </c>
      <c r="I46" s="233">
        <v>5</v>
      </c>
      <c r="J46" s="233">
        <v>10</v>
      </c>
      <c r="K46" s="186" t="s">
        <v>44</v>
      </c>
      <c r="L46" s="186"/>
      <c r="M46" s="185"/>
      <c r="N46" s="185"/>
      <c r="O46" s="185"/>
      <c r="P46" s="185" t="s">
        <v>139</v>
      </c>
      <c r="Q46" s="185"/>
      <c r="R46" s="187"/>
    </row>
    <row r="47" spans="1:18" ht="18.95" customHeight="1" x14ac:dyDescent="0.2">
      <c r="A47" s="183"/>
      <c r="B47" s="191" t="s">
        <v>45</v>
      </c>
      <c r="C47" s="191"/>
      <c r="D47" s="233" t="s">
        <v>42</v>
      </c>
      <c r="E47" s="233" t="s">
        <v>42</v>
      </c>
      <c r="F47" s="233" t="s">
        <v>42</v>
      </c>
      <c r="G47" s="233">
        <v>1</v>
      </c>
      <c r="H47" s="233" t="s">
        <v>42</v>
      </c>
      <c r="I47" s="233" t="s">
        <v>42</v>
      </c>
      <c r="J47" s="233" t="s">
        <v>42</v>
      </c>
      <c r="K47" s="186"/>
      <c r="L47" s="186"/>
      <c r="M47" s="185"/>
      <c r="N47" s="185"/>
      <c r="O47" s="185"/>
      <c r="P47" s="185"/>
      <c r="Q47" s="185"/>
      <c r="R47" s="187"/>
    </row>
    <row r="48" spans="1:18" ht="18.95" customHeight="1" x14ac:dyDescent="0.2">
      <c r="A48" s="183"/>
      <c r="B48" s="191" t="s">
        <v>46</v>
      </c>
      <c r="C48" s="191"/>
      <c r="D48" s="233" t="s">
        <v>42</v>
      </c>
      <c r="E48" s="233">
        <v>1</v>
      </c>
      <c r="F48" s="233" t="s">
        <v>42</v>
      </c>
      <c r="G48" s="233" t="s">
        <v>42</v>
      </c>
      <c r="H48" s="233" t="s">
        <v>42</v>
      </c>
      <c r="I48" s="233" t="s">
        <v>42</v>
      </c>
      <c r="J48" s="233" t="s">
        <v>42</v>
      </c>
      <c r="K48" s="186"/>
      <c r="L48" s="186"/>
      <c r="M48" s="185"/>
      <c r="N48" s="185"/>
      <c r="O48" s="185"/>
      <c r="P48" s="185"/>
      <c r="Q48" s="185"/>
      <c r="R48" s="187"/>
    </row>
    <row r="49" spans="1:18" ht="18.95" customHeight="1" x14ac:dyDescent="0.2">
      <c r="A49" s="183"/>
      <c r="B49" s="191" t="s">
        <v>47</v>
      </c>
      <c r="C49" s="191"/>
      <c r="D49" s="233" t="s">
        <v>42</v>
      </c>
      <c r="E49" s="233" t="s">
        <v>42</v>
      </c>
      <c r="F49" s="233" t="s">
        <v>42</v>
      </c>
      <c r="G49" s="233" t="s">
        <v>42</v>
      </c>
      <c r="H49" s="233">
        <v>1</v>
      </c>
      <c r="I49" s="233" t="s">
        <v>42</v>
      </c>
      <c r="J49" s="233" t="s">
        <v>42</v>
      </c>
      <c r="K49" s="186"/>
      <c r="L49" s="186"/>
      <c r="M49" s="185"/>
      <c r="N49" s="185"/>
      <c r="O49" s="185"/>
      <c r="P49" s="185"/>
      <c r="Q49" s="185"/>
      <c r="R49" s="187"/>
    </row>
    <row r="50" spans="1:18" ht="18.95" customHeight="1" x14ac:dyDescent="0.2">
      <c r="A50" s="183"/>
      <c r="B50" s="191" t="s">
        <v>136</v>
      </c>
      <c r="C50" s="191"/>
      <c r="D50" s="233" t="s">
        <v>42</v>
      </c>
      <c r="E50" s="233" t="s">
        <v>42</v>
      </c>
      <c r="F50" s="233" t="s">
        <v>42</v>
      </c>
      <c r="G50" s="233" t="s">
        <v>42</v>
      </c>
      <c r="H50" s="233">
        <v>1</v>
      </c>
      <c r="I50" s="233" t="s">
        <v>42</v>
      </c>
      <c r="J50" s="233" t="s">
        <v>42</v>
      </c>
      <c r="K50" s="186"/>
      <c r="L50" s="186"/>
      <c r="M50" s="185"/>
      <c r="N50" s="185"/>
      <c r="O50" s="185"/>
      <c r="P50" s="185"/>
      <c r="Q50" s="185"/>
      <c r="R50" s="187" t="s">
        <v>138</v>
      </c>
    </row>
    <row r="51" spans="1:18" ht="18.95" customHeight="1" x14ac:dyDescent="0.2">
      <c r="A51" s="183"/>
      <c r="B51" s="191" t="s">
        <v>61</v>
      </c>
      <c r="C51" s="191"/>
      <c r="D51" s="233" t="s">
        <v>42</v>
      </c>
      <c r="E51" s="233" t="s">
        <v>42</v>
      </c>
      <c r="F51" s="233">
        <v>1</v>
      </c>
      <c r="G51" s="233" t="s">
        <v>42</v>
      </c>
      <c r="H51" s="233" t="s">
        <v>42</v>
      </c>
      <c r="I51" s="233" t="s">
        <v>42</v>
      </c>
      <c r="J51" s="233" t="s">
        <v>42</v>
      </c>
      <c r="K51" s="186"/>
      <c r="L51" s="186"/>
      <c r="M51" s="185"/>
      <c r="N51" s="185"/>
      <c r="O51" s="185"/>
      <c r="P51" s="185"/>
      <c r="Q51" s="185" t="s">
        <v>54</v>
      </c>
      <c r="R51" s="187" t="s">
        <v>137</v>
      </c>
    </row>
    <row r="52" spans="1:18" ht="18.95" customHeight="1" x14ac:dyDescent="0.2">
      <c r="A52" s="183"/>
      <c r="B52" s="191" t="s">
        <v>63</v>
      </c>
      <c r="C52" s="191"/>
      <c r="D52" s="233" t="s">
        <v>42</v>
      </c>
      <c r="E52" s="233" t="s">
        <v>42</v>
      </c>
      <c r="F52" s="233">
        <v>1</v>
      </c>
      <c r="G52" s="233" t="s">
        <v>42</v>
      </c>
      <c r="H52" s="233" t="s">
        <v>42</v>
      </c>
      <c r="I52" s="233" t="s">
        <v>42</v>
      </c>
      <c r="J52" s="233" t="s">
        <v>42</v>
      </c>
      <c r="K52" s="186"/>
      <c r="L52" s="186"/>
      <c r="M52" s="185"/>
      <c r="N52" s="185"/>
      <c r="O52" s="185"/>
      <c r="P52" s="185"/>
      <c r="Q52" s="185" t="s">
        <v>54</v>
      </c>
      <c r="R52" s="187" t="s">
        <v>137</v>
      </c>
    </row>
    <row r="53" spans="1:18" ht="18.95" customHeight="1" x14ac:dyDescent="0.2">
      <c r="A53" s="183"/>
      <c r="B53" s="191" t="s">
        <v>144</v>
      </c>
      <c r="C53" s="191"/>
      <c r="D53" s="233" t="s">
        <v>42</v>
      </c>
      <c r="E53" s="233" t="s">
        <v>42</v>
      </c>
      <c r="F53" s="233" t="s">
        <v>42</v>
      </c>
      <c r="G53" s="233" t="s">
        <v>42</v>
      </c>
      <c r="H53" s="233" t="s">
        <v>42</v>
      </c>
      <c r="I53" s="233" t="s">
        <v>42</v>
      </c>
      <c r="J53" s="233">
        <v>4</v>
      </c>
      <c r="K53" s="186"/>
      <c r="L53" s="186">
        <v>6</v>
      </c>
      <c r="M53" s="185">
        <v>230</v>
      </c>
      <c r="N53" s="185"/>
      <c r="O53" s="185"/>
      <c r="P53" s="185" t="s">
        <v>145</v>
      </c>
      <c r="Q53" s="185"/>
      <c r="R53" s="187"/>
    </row>
    <row r="54" spans="1:18" ht="18.95" customHeight="1" x14ac:dyDescent="0.2">
      <c r="A54" s="183"/>
      <c r="B54" s="191"/>
      <c r="C54" s="191"/>
      <c r="D54" s="233"/>
      <c r="E54" s="233"/>
      <c r="F54" s="233"/>
      <c r="G54" s="233"/>
      <c r="H54" s="233"/>
      <c r="I54" s="233"/>
      <c r="J54" s="233"/>
      <c r="K54" s="186"/>
      <c r="L54" s="186"/>
      <c r="M54" s="185"/>
      <c r="N54" s="185"/>
      <c r="O54" s="185"/>
      <c r="P54" s="185"/>
      <c r="Q54" s="185"/>
      <c r="R54" s="187"/>
    </row>
    <row r="55" spans="1:18" ht="18.95" customHeight="1" x14ac:dyDescent="0.2">
      <c r="A55" s="225"/>
      <c r="B55" s="226" t="s">
        <v>141</v>
      </c>
      <c r="C55" s="227"/>
      <c r="D55" s="228"/>
      <c r="E55" s="228"/>
      <c r="F55" s="228"/>
      <c r="G55" s="228"/>
      <c r="H55" s="228"/>
      <c r="I55" s="228"/>
      <c r="J55" s="228"/>
      <c r="K55" s="229"/>
      <c r="L55" s="229"/>
      <c r="M55" s="228"/>
      <c r="N55" s="228"/>
      <c r="O55" s="228"/>
      <c r="P55" s="228"/>
      <c r="Q55" s="228"/>
      <c r="R55" s="230"/>
    </row>
    <row r="56" spans="1:18" ht="18.95" customHeight="1" x14ac:dyDescent="0.2">
      <c r="A56" s="183"/>
      <c r="B56" s="191" t="s">
        <v>43</v>
      </c>
      <c r="C56" s="191"/>
      <c r="D56" s="233" t="s">
        <v>42</v>
      </c>
      <c r="E56" s="233" t="s">
        <v>42</v>
      </c>
      <c r="F56" s="233" t="s">
        <v>42</v>
      </c>
      <c r="G56" s="233" t="s">
        <v>42</v>
      </c>
      <c r="H56" s="233" t="s">
        <v>42</v>
      </c>
      <c r="I56" s="233">
        <v>5</v>
      </c>
      <c r="J56" s="233">
        <v>10</v>
      </c>
      <c r="K56" s="186" t="s">
        <v>44</v>
      </c>
      <c r="L56" s="186"/>
      <c r="M56" s="185"/>
      <c r="N56" s="185"/>
      <c r="O56" s="185"/>
      <c r="P56" s="185" t="s">
        <v>139</v>
      </c>
      <c r="Q56" s="185"/>
      <c r="R56" s="187"/>
    </row>
    <row r="57" spans="1:18" ht="18.95" customHeight="1" x14ac:dyDescent="0.2">
      <c r="A57" s="183"/>
      <c r="B57" s="191" t="s">
        <v>45</v>
      </c>
      <c r="C57" s="191"/>
      <c r="D57" s="233" t="s">
        <v>42</v>
      </c>
      <c r="E57" s="233" t="s">
        <v>42</v>
      </c>
      <c r="F57" s="233" t="s">
        <v>42</v>
      </c>
      <c r="G57" s="233">
        <v>1</v>
      </c>
      <c r="H57" s="233" t="s">
        <v>42</v>
      </c>
      <c r="I57" s="233" t="s">
        <v>42</v>
      </c>
      <c r="J57" s="233" t="s">
        <v>42</v>
      </c>
      <c r="K57" s="186"/>
      <c r="L57" s="186"/>
      <c r="M57" s="185"/>
      <c r="N57" s="185"/>
      <c r="O57" s="185"/>
      <c r="P57" s="185"/>
      <c r="Q57" s="185"/>
      <c r="R57" s="187"/>
    </row>
    <row r="58" spans="1:18" ht="18.95" customHeight="1" x14ac:dyDescent="0.2">
      <c r="A58" s="183"/>
      <c r="B58" s="191" t="s">
        <v>46</v>
      </c>
      <c r="C58" s="191"/>
      <c r="D58" s="233" t="s">
        <v>42</v>
      </c>
      <c r="E58" s="233">
        <v>1</v>
      </c>
      <c r="F58" s="233" t="s">
        <v>42</v>
      </c>
      <c r="G58" s="233" t="s">
        <v>42</v>
      </c>
      <c r="H58" s="233" t="s">
        <v>42</v>
      </c>
      <c r="I58" s="233" t="s">
        <v>42</v>
      </c>
      <c r="J58" s="233" t="s">
        <v>42</v>
      </c>
      <c r="K58" s="186"/>
      <c r="L58" s="186"/>
      <c r="M58" s="185"/>
      <c r="N58" s="185"/>
      <c r="O58" s="185"/>
      <c r="P58" s="185"/>
      <c r="Q58" s="185"/>
      <c r="R58" s="187"/>
    </row>
    <row r="59" spans="1:18" ht="18.95" customHeight="1" x14ac:dyDescent="0.2">
      <c r="A59" s="183"/>
      <c r="B59" s="191" t="s">
        <v>47</v>
      </c>
      <c r="C59" s="191"/>
      <c r="D59" s="233" t="s">
        <v>42</v>
      </c>
      <c r="E59" s="233" t="s">
        <v>42</v>
      </c>
      <c r="F59" s="233" t="s">
        <v>42</v>
      </c>
      <c r="G59" s="233" t="s">
        <v>42</v>
      </c>
      <c r="H59" s="233">
        <v>1</v>
      </c>
      <c r="I59" s="233" t="s">
        <v>42</v>
      </c>
      <c r="J59" s="233" t="s">
        <v>42</v>
      </c>
      <c r="K59" s="186"/>
      <c r="L59" s="186"/>
      <c r="M59" s="185"/>
      <c r="N59" s="185"/>
      <c r="O59" s="185"/>
      <c r="P59" s="185"/>
      <c r="Q59" s="185"/>
      <c r="R59" s="187"/>
    </row>
    <row r="60" spans="1:18" ht="18.95" customHeight="1" x14ac:dyDescent="0.2">
      <c r="A60" s="183"/>
      <c r="B60" s="191" t="s">
        <v>136</v>
      </c>
      <c r="C60" s="191"/>
      <c r="D60" s="233" t="s">
        <v>42</v>
      </c>
      <c r="E60" s="233" t="s">
        <v>42</v>
      </c>
      <c r="F60" s="233" t="s">
        <v>42</v>
      </c>
      <c r="G60" s="233" t="s">
        <v>42</v>
      </c>
      <c r="H60" s="233">
        <v>1</v>
      </c>
      <c r="I60" s="233" t="s">
        <v>42</v>
      </c>
      <c r="J60" s="233" t="s">
        <v>42</v>
      </c>
      <c r="K60" s="186"/>
      <c r="L60" s="186"/>
      <c r="M60" s="185"/>
      <c r="N60" s="185"/>
      <c r="O60" s="185"/>
      <c r="P60" s="185"/>
      <c r="Q60" s="185"/>
      <c r="R60" s="187" t="s">
        <v>138</v>
      </c>
    </row>
    <row r="61" spans="1:18" ht="18.95" customHeight="1" x14ac:dyDescent="0.2">
      <c r="A61" s="183"/>
      <c r="B61" s="191" t="s">
        <v>61</v>
      </c>
      <c r="C61" s="191"/>
      <c r="D61" s="233" t="s">
        <v>42</v>
      </c>
      <c r="E61" s="233" t="s">
        <v>42</v>
      </c>
      <c r="F61" s="233">
        <v>1</v>
      </c>
      <c r="G61" s="233" t="s">
        <v>42</v>
      </c>
      <c r="H61" s="233" t="s">
        <v>42</v>
      </c>
      <c r="I61" s="233" t="s">
        <v>42</v>
      </c>
      <c r="J61" s="233" t="s">
        <v>42</v>
      </c>
      <c r="K61" s="186"/>
      <c r="L61" s="186"/>
      <c r="M61" s="185"/>
      <c r="N61" s="185"/>
      <c r="O61" s="185"/>
      <c r="P61" s="185"/>
      <c r="Q61" s="185" t="s">
        <v>54</v>
      </c>
      <c r="R61" s="187" t="s">
        <v>137</v>
      </c>
    </row>
    <row r="62" spans="1:18" ht="18.95" customHeight="1" x14ac:dyDescent="0.2">
      <c r="A62" s="183"/>
      <c r="B62" s="191" t="s">
        <v>63</v>
      </c>
      <c r="C62" s="191"/>
      <c r="D62" s="233" t="s">
        <v>42</v>
      </c>
      <c r="E62" s="233" t="s">
        <v>42</v>
      </c>
      <c r="F62" s="233">
        <v>1</v>
      </c>
      <c r="G62" s="233" t="s">
        <v>42</v>
      </c>
      <c r="H62" s="233" t="s">
        <v>42</v>
      </c>
      <c r="I62" s="233" t="s">
        <v>42</v>
      </c>
      <c r="J62" s="233" t="s">
        <v>42</v>
      </c>
      <c r="K62" s="186"/>
      <c r="L62" s="186"/>
      <c r="M62" s="185"/>
      <c r="N62" s="185"/>
      <c r="O62" s="185"/>
      <c r="P62" s="185"/>
      <c r="Q62" s="185" t="s">
        <v>54</v>
      </c>
      <c r="R62" s="187" t="s">
        <v>137</v>
      </c>
    </row>
    <row r="63" spans="1:18" ht="18.95" customHeight="1" x14ac:dyDescent="0.2">
      <c r="A63" s="183"/>
      <c r="B63" s="191" t="s">
        <v>144</v>
      </c>
      <c r="C63" s="191"/>
      <c r="D63" s="233" t="s">
        <v>42</v>
      </c>
      <c r="E63" s="233" t="s">
        <v>42</v>
      </c>
      <c r="F63" s="233" t="s">
        <v>42</v>
      </c>
      <c r="G63" s="233" t="s">
        <v>42</v>
      </c>
      <c r="H63" s="233" t="s">
        <v>42</v>
      </c>
      <c r="I63" s="233" t="s">
        <v>42</v>
      </c>
      <c r="J63" s="233">
        <v>4</v>
      </c>
      <c r="K63" s="186"/>
      <c r="L63" s="186">
        <v>6</v>
      </c>
      <c r="M63" s="185">
        <v>230</v>
      </c>
      <c r="N63" s="185"/>
      <c r="O63" s="185"/>
      <c r="P63" s="185" t="s">
        <v>145</v>
      </c>
      <c r="Q63" s="185"/>
      <c r="R63" s="187"/>
    </row>
    <row r="64" spans="1:18" ht="18.95" customHeight="1" x14ac:dyDescent="0.2">
      <c r="A64" s="183"/>
      <c r="B64" s="191"/>
      <c r="C64" s="191"/>
      <c r="D64" s="233"/>
      <c r="E64" s="233"/>
      <c r="F64" s="233"/>
      <c r="G64" s="233"/>
      <c r="H64" s="233"/>
      <c r="I64" s="233"/>
      <c r="J64" s="233"/>
      <c r="K64" s="186"/>
      <c r="L64" s="186"/>
      <c r="M64" s="185"/>
      <c r="N64" s="185"/>
      <c r="O64" s="185"/>
      <c r="P64" s="185"/>
      <c r="Q64" s="185"/>
      <c r="R64" s="187"/>
    </row>
    <row r="65" spans="1:18" ht="18.95" customHeight="1" x14ac:dyDescent="0.2">
      <c r="A65" s="225"/>
      <c r="B65" s="226" t="s">
        <v>142</v>
      </c>
      <c r="C65" s="227"/>
      <c r="D65" s="228"/>
      <c r="E65" s="228"/>
      <c r="F65" s="228"/>
      <c r="G65" s="228"/>
      <c r="H65" s="228"/>
      <c r="I65" s="228"/>
      <c r="J65" s="228"/>
      <c r="K65" s="229"/>
      <c r="L65" s="229"/>
      <c r="M65" s="228"/>
      <c r="N65" s="228"/>
      <c r="O65" s="228"/>
      <c r="P65" s="228"/>
      <c r="Q65" s="228"/>
      <c r="R65" s="230"/>
    </row>
    <row r="66" spans="1:18" ht="18.95" customHeight="1" x14ac:dyDescent="0.2">
      <c r="A66" s="183"/>
      <c r="B66" s="191" t="s">
        <v>43</v>
      </c>
      <c r="C66" s="191"/>
      <c r="D66" s="233" t="s">
        <v>42</v>
      </c>
      <c r="E66" s="233" t="s">
        <v>42</v>
      </c>
      <c r="F66" s="233" t="s">
        <v>42</v>
      </c>
      <c r="G66" s="233" t="s">
        <v>42</v>
      </c>
      <c r="H66" s="233" t="s">
        <v>42</v>
      </c>
      <c r="I66" s="233">
        <v>5</v>
      </c>
      <c r="J66" s="233">
        <v>10</v>
      </c>
      <c r="K66" s="186" t="s">
        <v>44</v>
      </c>
      <c r="L66" s="186"/>
      <c r="M66" s="185"/>
      <c r="N66" s="185"/>
      <c r="O66" s="185"/>
      <c r="P66" s="185" t="s">
        <v>139</v>
      </c>
      <c r="Q66" s="185"/>
      <c r="R66" s="187"/>
    </row>
    <row r="67" spans="1:18" ht="18.95" customHeight="1" x14ac:dyDescent="0.2">
      <c r="A67" s="183"/>
      <c r="B67" s="191" t="s">
        <v>45</v>
      </c>
      <c r="C67" s="191"/>
      <c r="D67" s="233" t="s">
        <v>42</v>
      </c>
      <c r="E67" s="233" t="s">
        <v>42</v>
      </c>
      <c r="F67" s="233" t="s">
        <v>42</v>
      </c>
      <c r="G67" s="233">
        <v>1</v>
      </c>
      <c r="H67" s="233" t="s">
        <v>42</v>
      </c>
      <c r="I67" s="233" t="s">
        <v>42</v>
      </c>
      <c r="J67" s="233" t="s">
        <v>42</v>
      </c>
      <c r="K67" s="186"/>
      <c r="L67" s="186"/>
      <c r="M67" s="185"/>
      <c r="N67" s="185"/>
      <c r="O67" s="185"/>
      <c r="P67" s="185"/>
      <c r="Q67" s="185"/>
      <c r="R67" s="187"/>
    </row>
    <row r="68" spans="1:18" ht="18.95" customHeight="1" x14ac:dyDescent="0.2">
      <c r="A68" s="183"/>
      <c r="B68" s="191" t="s">
        <v>46</v>
      </c>
      <c r="C68" s="191"/>
      <c r="D68" s="233" t="s">
        <v>42</v>
      </c>
      <c r="E68" s="233">
        <v>1</v>
      </c>
      <c r="F68" s="233" t="s">
        <v>42</v>
      </c>
      <c r="G68" s="233" t="s">
        <v>42</v>
      </c>
      <c r="H68" s="233" t="s">
        <v>42</v>
      </c>
      <c r="I68" s="233" t="s">
        <v>42</v>
      </c>
      <c r="J68" s="233" t="s">
        <v>42</v>
      </c>
      <c r="K68" s="186"/>
      <c r="L68" s="186"/>
      <c r="M68" s="185"/>
      <c r="N68" s="185"/>
      <c r="O68" s="185"/>
      <c r="P68" s="185"/>
      <c r="Q68" s="185"/>
      <c r="R68" s="187"/>
    </row>
    <row r="69" spans="1:18" ht="18.95" customHeight="1" x14ac:dyDescent="0.2">
      <c r="A69" s="183"/>
      <c r="B69" s="191" t="s">
        <v>47</v>
      </c>
      <c r="C69" s="191"/>
      <c r="D69" s="233" t="s">
        <v>42</v>
      </c>
      <c r="E69" s="233" t="s">
        <v>42</v>
      </c>
      <c r="F69" s="233" t="s">
        <v>42</v>
      </c>
      <c r="G69" s="233" t="s">
        <v>42</v>
      </c>
      <c r="H69" s="233">
        <v>1</v>
      </c>
      <c r="I69" s="233" t="s">
        <v>42</v>
      </c>
      <c r="J69" s="233" t="s">
        <v>42</v>
      </c>
      <c r="K69" s="186"/>
      <c r="L69" s="186"/>
      <c r="M69" s="185"/>
      <c r="N69" s="185"/>
      <c r="O69" s="185"/>
      <c r="P69" s="185"/>
      <c r="Q69" s="185"/>
      <c r="R69" s="187"/>
    </row>
    <row r="70" spans="1:18" ht="18.95" customHeight="1" x14ac:dyDescent="0.2">
      <c r="A70" s="183"/>
      <c r="B70" s="191" t="s">
        <v>136</v>
      </c>
      <c r="C70" s="191"/>
      <c r="D70" s="233" t="s">
        <v>42</v>
      </c>
      <c r="E70" s="233" t="s">
        <v>42</v>
      </c>
      <c r="F70" s="233" t="s">
        <v>42</v>
      </c>
      <c r="G70" s="233" t="s">
        <v>42</v>
      </c>
      <c r="H70" s="233">
        <v>1</v>
      </c>
      <c r="I70" s="233" t="s">
        <v>42</v>
      </c>
      <c r="J70" s="233" t="s">
        <v>42</v>
      </c>
      <c r="K70" s="186"/>
      <c r="L70" s="186"/>
      <c r="M70" s="185"/>
      <c r="N70" s="185"/>
      <c r="O70" s="185"/>
      <c r="P70" s="185"/>
      <c r="Q70" s="185"/>
      <c r="R70" s="187" t="s">
        <v>138</v>
      </c>
    </row>
    <row r="71" spans="1:18" ht="18.95" customHeight="1" x14ac:dyDescent="0.2">
      <c r="A71" s="183"/>
      <c r="B71" s="191" t="s">
        <v>61</v>
      </c>
      <c r="C71" s="191"/>
      <c r="D71" s="233" t="s">
        <v>42</v>
      </c>
      <c r="E71" s="233" t="s">
        <v>42</v>
      </c>
      <c r="F71" s="233">
        <v>1</v>
      </c>
      <c r="G71" s="233" t="s">
        <v>42</v>
      </c>
      <c r="H71" s="233" t="s">
        <v>42</v>
      </c>
      <c r="I71" s="233" t="s">
        <v>42</v>
      </c>
      <c r="J71" s="233" t="s">
        <v>42</v>
      </c>
      <c r="K71" s="186"/>
      <c r="L71" s="186"/>
      <c r="M71" s="185"/>
      <c r="N71" s="185"/>
      <c r="O71" s="185"/>
      <c r="P71" s="185"/>
      <c r="Q71" s="185" t="s">
        <v>54</v>
      </c>
      <c r="R71" s="187" t="s">
        <v>137</v>
      </c>
    </row>
    <row r="72" spans="1:18" ht="18.95" customHeight="1" x14ac:dyDescent="0.2">
      <c r="A72" s="183"/>
      <c r="B72" s="191" t="s">
        <v>63</v>
      </c>
      <c r="C72" s="191"/>
      <c r="D72" s="233" t="s">
        <v>42</v>
      </c>
      <c r="E72" s="233" t="s">
        <v>42</v>
      </c>
      <c r="F72" s="233">
        <v>1</v>
      </c>
      <c r="G72" s="233" t="s">
        <v>42</v>
      </c>
      <c r="H72" s="233" t="s">
        <v>42</v>
      </c>
      <c r="I72" s="233" t="s">
        <v>42</v>
      </c>
      <c r="J72" s="233" t="s">
        <v>42</v>
      </c>
      <c r="K72" s="186"/>
      <c r="L72" s="186"/>
      <c r="M72" s="185"/>
      <c r="N72" s="185"/>
      <c r="O72" s="185"/>
      <c r="P72" s="185"/>
      <c r="Q72" s="185" t="s">
        <v>54</v>
      </c>
      <c r="R72" s="187" t="s">
        <v>137</v>
      </c>
    </row>
    <row r="73" spans="1:18" ht="18.95" customHeight="1" x14ac:dyDescent="0.2">
      <c r="A73" s="183"/>
      <c r="B73" s="191" t="s">
        <v>144</v>
      </c>
      <c r="C73" s="191"/>
      <c r="D73" s="233" t="s">
        <v>42</v>
      </c>
      <c r="E73" s="233" t="s">
        <v>42</v>
      </c>
      <c r="F73" s="233" t="s">
        <v>42</v>
      </c>
      <c r="G73" s="233" t="s">
        <v>42</v>
      </c>
      <c r="H73" s="233" t="s">
        <v>42</v>
      </c>
      <c r="I73" s="233" t="s">
        <v>42</v>
      </c>
      <c r="J73" s="233">
        <v>4</v>
      </c>
      <c r="K73" s="186"/>
      <c r="L73" s="186">
        <v>6</v>
      </c>
      <c r="M73" s="185">
        <v>230</v>
      </c>
      <c r="N73" s="185"/>
      <c r="O73" s="185"/>
      <c r="P73" s="185" t="s">
        <v>145</v>
      </c>
      <c r="Q73" s="185"/>
      <c r="R73" s="187"/>
    </row>
    <row r="74" spans="1:18" ht="18.95" customHeight="1" x14ac:dyDescent="0.2">
      <c r="A74" s="183"/>
      <c r="B74" s="191"/>
      <c r="C74" s="191"/>
      <c r="D74" s="233"/>
      <c r="E74" s="233"/>
      <c r="F74" s="233"/>
      <c r="G74" s="233"/>
      <c r="H74" s="233"/>
      <c r="I74" s="233"/>
      <c r="J74" s="233"/>
      <c r="K74" s="186"/>
      <c r="L74" s="186"/>
      <c r="M74" s="185"/>
      <c r="N74" s="185"/>
      <c r="O74" s="185"/>
      <c r="P74" s="185"/>
      <c r="Q74" s="185"/>
      <c r="R74" s="187"/>
    </row>
    <row r="75" spans="1:18" ht="18.95" customHeight="1" x14ac:dyDescent="0.2">
      <c r="A75" s="225"/>
      <c r="B75" s="226" t="s">
        <v>143</v>
      </c>
      <c r="C75" s="227"/>
      <c r="D75" s="228"/>
      <c r="E75" s="228"/>
      <c r="F75" s="228"/>
      <c r="G75" s="228"/>
      <c r="H75" s="228"/>
      <c r="I75" s="228"/>
      <c r="J75" s="228"/>
      <c r="K75" s="229"/>
      <c r="L75" s="229"/>
      <c r="M75" s="228"/>
      <c r="N75" s="228"/>
      <c r="O75" s="228"/>
      <c r="P75" s="228"/>
      <c r="Q75" s="228"/>
      <c r="R75" s="230"/>
    </row>
    <row r="76" spans="1:18" ht="18.95" customHeight="1" x14ac:dyDescent="0.2">
      <c r="A76" s="183"/>
      <c r="B76" s="191" t="s">
        <v>146</v>
      </c>
      <c r="C76" s="191"/>
      <c r="D76" s="233" t="s">
        <v>42</v>
      </c>
      <c r="E76" s="233" t="s">
        <v>42</v>
      </c>
      <c r="F76" s="233" t="s">
        <v>42</v>
      </c>
      <c r="G76" s="233">
        <v>3</v>
      </c>
      <c r="H76" s="233" t="s">
        <v>42</v>
      </c>
      <c r="I76" s="233" t="s">
        <v>42</v>
      </c>
      <c r="J76" s="233" t="s">
        <v>42</v>
      </c>
      <c r="K76" s="186"/>
      <c r="L76" s="186"/>
      <c r="M76" s="185"/>
      <c r="N76" s="185"/>
      <c r="O76" s="185"/>
      <c r="P76" s="185"/>
      <c r="Q76" s="185" t="s">
        <v>54</v>
      </c>
      <c r="R76" s="187" t="s">
        <v>150</v>
      </c>
    </row>
    <row r="77" spans="1:18" ht="18.95" customHeight="1" x14ac:dyDescent="0.2">
      <c r="A77" s="183"/>
      <c r="B77" s="191" t="s">
        <v>147</v>
      </c>
      <c r="C77" s="191"/>
      <c r="D77" s="233" t="s">
        <v>42</v>
      </c>
      <c r="E77" s="233" t="s">
        <v>42</v>
      </c>
      <c r="F77" s="233" t="s">
        <v>42</v>
      </c>
      <c r="G77" s="233">
        <v>3</v>
      </c>
      <c r="H77" s="233" t="s">
        <v>42</v>
      </c>
      <c r="I77" s="233" t="s">
        <v>42</v>
      </c>
      <c r="J77" s="233" t="s">
        <v>42</v>
      </c>
      <c r="K77" s="186"/>
      <c r="L77" s="186"/>
      <c r="M77" s="185"/>
      <c r="N77" s="185"/>
      <c r="O77" s="185"/>
      <c r="P77" s="185"/>
      <c r="Q77" s="185" t="s">
        <v>54</v>
      </c>
      <c r="R77" s="187" t="s">
        <v>150</v>
      </c>
    </row>
    <row r="78" spans="1:18" ht="18.95" customHeight="1" x14ac:dyDescent="0.2">
      <c r="A78" s="183"/>
      <c r="B78" s="191" t="s">
        <v>148</v>
      </c>
      <c r="C78" s="191"/>
      <c r="D78" s="233" t="s">
        <v>42</v>
      </c>
      <c r="E78" s="233" t="s">
        <v>42</v>
      </c>
      <c r="F78" s="233" t="s">
        <v>42</v>
      </c>
      <c r="G78" s="233">
        <v>3</v>
      </c>
      <c r="H78" s="233" t="s">
        <v>42</v>
      </c>
      <c r="I78" s="233" t="s">
        <v>42</v>
      </c>
      <c r="J78" s="233" t="s">
        <v>42</v>
      </c>
      <c r="K78" s="186"/>
      <c r="L78" s="186"/>
      <c r="M78" s="185"/>
      <c r="N78" s="185"/>
      <c r="O78" s="185"/>
      <c r="P78" s="185"/>
      <c r="Q78" s="185" t="s">
        <v>54</v>
      </c>
      <c r="R78" s="187" t="s">
        <v>150</v>
      </c>
    </row>
    <row r="79" spans="1:18" ht="18.95" customHeight="1" x14ac:dyDescent="0.2">
      <c r="A79" s="183"/>
      <c r="B79" s="191" t="s">
        <v>149</v>
      </c>
      <c r="C79" s="191"/>
      <c r="D79" s="233" t="s">
        <v>42</v>
      </c>
      <c r="E79" s="233" t="s">
        <v>42</v>
      </c>
      <c r="F79" s="233" t="s">
        <v>42</v>
      </c>
      <c r="G79" s="233">
        <v>3</v>
      </c>
      <c r="H79" s="233" t="s">
        <v>42</v>
      </c>
      <c r="I79" s="233" t="s">
        <v>42</v>
      </c>
      <c r="J79" s="233" t="s">
        <v>42</v>
      </c>
      <c r="K79" s="186"/>
      <c r="L79" s="186"/>
      <c r="M79" s="185"/>
      <c r="N79" s="185"/>
      <c r="O79" s="185"/>
      <c r="P79" s="185"/>
      <c r="Q79" s="185" t="s">
        <v>54</v>
      </c>
      <c r="R79" s="187" t="s">
        <v>150</v>
      </c>
    </row>
    <row r="80" spans="1:18" ht="18.95" customHeight="1" x14ac:dyDescent="0.2">
      <c r="A80" s="183"/>
      <c r="B80" s="191"/>
      <c r="C80" s="191"/>
      <c r="D80" s="233"/>
      <c r="E80" s="233"/>
      <c r="F80" s="233"/>
      <c r="G80" s="233"/>
      <c r="H80" s="233"/>
      <c r="I80" s="233"/>
      <c r="J80" s="233"/>
      <c r="K80" s="186"/>
      <c r="L80" s="186"/>
      <c r="M80" s="185"/>
      <c r="N80" s="185"/>
      <c r="O80" s="185"/>
      <c r="P80" s="185"/>
      <c r="Q80" s="185"/>
      <c r="R80" s="187"/>
    </row>
    <row r="81" spans="1:18" ht="18.95" customHeight="1" x14ac:dyDescent="0.2">
      <c r="A81" s="225"/>
      <c r="B81" s="226" t="s">
        <v>51</v>
      </c>
      <c r="C81" s="227"/>
      <c r="D81" s="228"/>
      <c r="E81" s="228"/>
      <c r="F81" s="228"/>
      <c r="G81" s="228"/>
      <c r="H81" s="228"/>
      <c r="I81" s="228"/>
      <c r="J81" s="228"/>
      <c r="K81" s="229"/>
      <c r="L81" s="229"/>
      <c r="M81" s="228"/>
      <c r="N81" s="228"/>
      <c r="O81" s="228"/>
      <c r="P81" s="228"/>
      <c r="Q81" s="228"/>
      <c r="R81" s="230"/>
    </row>
    <row r="82" spans="1:18" ht="18.95" customHeight="1" x14ac:dyDescent="0.2">
      <c r="A82" s="183"/>
      <c r="B82" s="191" t="s">
        <v>61</v>
      </c>
      <c r="C82" s="191"/>
      <c r="D82" s="233" t="s">
        <v>42</v>
      </c>
      <c r="E82" s="233" t="s">
        <v>42</v>
      </c>
      <c r="F82" s="233">
        <v>1</v>
      </c>
      <c r="G82" s="233" t="s">
        <v>42</v>
      </c>
      <c r="H82" s="233" t="s">
        <v>42</v>
      </c>
      <c r="I82" s="233" t="s">
        <v>42</v>
      </c>
      <c r="J82" s="233" t="s">
        <v>42</v>
      </c>
      <c r="K82" s="186"/>
      <c r="L82" s="186"/>
      <c r="M82" s="185"/>
      <c r="N82" s="185"/>
      <c r="O82" s="185"/>
      <c r="P82" s="185"/>
      <c r="Q82" s="185" t="s">
        <v>54</v>
      </c>
      <c r="R82" s="187" t="s">
        <v>137</v>
      </c>
    </row>
    <row r="83" spans="1:18" ht="18.95" customHeight="1" x14ac:dyDescent="0.2">
      <c r="A83" s="183"/>
      <c r="B83" s="191" t="s">
        <v>63</v>
      </c>
      <c r="C83" s="191"/>
      <c r="D83" s="233" t="s">
        <v>42</v>
      </c>
      <c r="E83" s="233" t="s">
        <v>42</v>
      </c>
      <c r="F83" s="233">
        <v>1</v>
      </c>
      <c r="G83" s="233" t="s">
        <v>42</v>
      </c>
      <c r="H83" s="233" t="s">
        <v>42</v>
      </c>
      <c r="I83" s="233" t="s">
        <v>42</v>
      </c>
      <c r="J83" s="233" t="s">
        <v>42</v>
      </c>
      <c r="K83" s="186"/>
      <c r="L83" s="186"/>
      <c r="M83" s="185"/>
      <c r="N83" s="185"/>
      <c r="O83" s="185"/>
      <c r="P83" s="185"/>
      <c r="Q83" s="185" t="s">
        <v>54</v>
      </c>
      <c r="R83" s="187" t="s">
        <v>137</v>
      </c>
    </row>
    <row r="84" spans="1:18" ht="18.95" customHeight="1" x14ac:dyDescent="0.2">
      <c r="A84" s="183"/>
      <c r="B84" s="191" t="s">
        <v>53</v>
      </c>
      <c r="C84" s="191"/>
      <c r="D84" s="233" t="s">
        <v>42</v>
      </c>
      <c r="E84" s="233" t="s">
        <v>42</v>
      </c>
      <c r="F84" s="233">
        <v>1</v>
      </c>
      <c r="G84" s="233" t="s">
        <v>42</v>
      </c>
      <c r="H84" s="233" t="s">
        <v>42</v>
      </c>
      <c r="I84" s="233" t="s">
        <v>42</v>
      </c>
      <c r="J84" s="233" t="s">
        <v>42</v>
      </c>
      <c r="K84" s="186"/>
      <c r="L84" s="186"/>
      <c r="M84" s="185"/>
      <c r="N84" s="185"/>
      <c r="O84" s="185"/>
      <c r="P84" s="185"/>
      <c r="Q84" s="185" t="s">
        <v>152</v>
      </c>
      <c r="R84" s="187" t="s">
        <v>151</v>
      </c>
    </row>
    <row r="85" spans="1:18" ht="18.95" customHeight="1" x14ac:dyDescent="0.2">
      <c r="A85" s="183"/>
      <c r="B85" s="191" t="s">
        <v>55</v>
      </c>
      <c r="C85" s="191"/>
      <c r="D85" s="233" t="s">
        <v>42</v>
      </c>
      <c r="E85" s="233" t="s">
        <v>42</v>
      </c>
      <c r="F85" s="233">
        <v>1</v>
      </c>
      <c r="G85" s="233" t="s">
        <v>42</v>
      </c>
      <c r="H85" s="233" t="s">
        <v>42</v>
      </c>
      <c r="I85" s="233" t="s">
        <v>42</v>
      </c>
      <c r="J85" s="233" t="s">
        <v>42</v>
      </c>
      <c r="K85" s="186"/>
      <c r="L85" s="186"/>
      <c r="M85" s="185"/>
      <c r="N85" s="185"/>
      <c r="O85" s="185"/>
      <c r="P85" s="185"/>
      <c r="Q85" s="185" t="s">
        <v>152</v>
      </c>
      <c r="R85" s="187" t="s">
        <v>151</v>
      </c>
    </row>
    <row r="86" spans="1:18" ht="18.95" customHeight="1" x14ac:dyDescent="0.2">
      <c r="A86" s="183"/>
      <c r="B86" s="191" t="s">
        <v>57</v>
      </c>
      <c r="C86" s="191"/>
      <c r="D86" s="233" t="s">
        <v>42</v>
      </c>
      <c r="E86" s="233" t="s">
        <v>42</v>
      </c>
      <c r="F86" s="233" t="s">
        <v>42</v>
      </c>
      <c r="G86" s="233">
        <v>1</v>
      </c>
      <c r="H86" s="233" t="s">
        <v>42</v>
      </c>
      <c r="I86" s="233" t="s">
        <v>42</v>
      </c>
      <c r="J86" s="233" t="s">
        <v>42</v>
      </c>
      <c r="K86" s="186">
        <v>0.5</v>
      </c>
      <c r="L86" s="186"/>
      <c r="M86" s="185">
        <v>230</v>
      </c>
      <c r="N86" s="185"/>
      <c r="O86" s="185"/>
      <c r="P86" s="185"/>
      <c r="Q86" s="185" t="s">
        <v>58</v>
      </c>
      <c r="R86" s="187" t="s">
        <v>59</v>
      </c>
    </row>
    <row r="87" spans="1:18" ht="18.95" customHeight="1" x14ac:dyDescent="0.2">
      <c r="A87" s="183"/>
      <c r="B87" s="191" t="s">
        <v>60</v>
      </c>
      <c r="C87" s="191"/>
      <c r="D87" s="233" t="s">
        <v>42</v>
      </c>
      <c r="E87" s="233">
        <v>1</v>
      </c>
      <c r="F87" s="233" t="s">
        <v>42</v>
      </c>
      <c r="G87" s="233" t="s">
        <v>42</v>
      </c>
      <c r="H87" s="233" t="s">
        <v>42</v>
      </c>
      <c r="I87" s="233" t="s">
        <v>42</v>
      </c>
      <c r="J87" s="233" t="s">
        <v>42</v>
      </c>
      <c r="K87" s="186"/>
      <c r="L87" s="186"/>
      <c r="M87" s="185"/>
      <c r="N87" s="185"/>
      <c r="O87" s="185"/>
      <c r="P87" s="185"/>
      <c r="Q87" s="185"/>
      <c r="R87" s="187"/>
    </row>
    <row r="88" spans="1:18" ht="18.95" customHeight="1" x14ac:dyDescent="0.2">
      <c r="A88" s="183"/>
      <c r="B88" s="191" t="s">
        <v>153</v>
      </c>
      <c r="C88" s="191"/>
      <c r="D88" s="233" t="s">
        <v>42</v>
      </c>
      <c r="E88" s="233" t="s">
        <v>42</v>
      </c>
      <c r="F88" s="233" t="s">
        <v>42</v>
      </c>
      <c r="G88" s="233">
        <v>1</v>
      </c>
      <c r="H88" s="233" t="s">
        <v>42</v>
      </c>
      <c r="I88" s="233" t="s">
        <v>42</v>
      </c>
      <c r="J88" s="233" t="s">
        <v>42</v>
      </c>
      <c r="K88" s="186"/>
      <c r="L88" s="186"/>
      <c r="M88" s="185"/>
      <c r="N88" s="185"/>
      <c r="O88" s="185"/>
      <c r="P88" s="185"/>
      <c r="Q88" s="185"/>
      <c r="R88" s="187"/>
    </row>
    <row r="89" spans="1:18" ht="18.95" customHeight="1" x14ac:dyDescent="0.2">
      <c r="A89" s="183"/>
      <c r="B89" s="191" t="s">
        <v>61</v>
      </c>
      <c r="C89" s="191"/>
      <c r="D89" s="233" t="s">
        <v>42</v>
      </c>
      <c r="E89" s="233" t="s">
        <v>42</v>
      </c>
      <c r="F89" s="233">
        <v>1</v>
      </c>
      <c r="G89" s="233" t="s">
        <v>42</v>
      </c>
      <c r="H89" s="233" t="s">
        <v>42</v>
      </c>
      <c r="I89" s="233" t="s">
        <v>42</v>
      </c>
      <c r="J89" s="233" t="s">
        <v>42</v>
      </c>
      <c r="K89" s="186"/>
      <c r="L89" s="186"/>
      <c r="M89" s="185"/>
      <c r="N89" s="185"/>
      <c r="O89" s="185"/>
      <c r="P89" s="185"/>
      <c r="Q89" s="185" t="s">
        <v>54</v>
      </c>
      <c r="R89" s="187" t="s">
        <v>137</v>
      </c>
    </row>
    <row r="90" spans="1:18" ht="18.95" customHeight="1" x14ac:dyDescent="0.2">
      <c r="A90" s="183"/>
      <c r="B90" s="191" t="s">
        <v>63</v>
      </c>
      <c r="C90" s="191"/>
      <c r="D90" s="233" t="s">
        <v>42</v>
      </c>
      <c r="E90" s="233" t="s">
        <v>42</v>
      </c>
      <c r="F90" s="233">
        <v>1</v>
      </c>
      <c r="G90" s="233" t="s">
        <v>42</v>
      </c>
      <c r="H90" s="233" t="s">
        <v>42</v>
      </c>
      <c r="I90" s="233" t="s">
        <v>42</v>
      </c>
      <c r="J90" s="233" t="s">
        <v>42</v>
      </c>
      <c r="K90" s="186"/>
      <c r="L90" s="186"/>
      <c r="M90" s="185"/>
      <c r="N90" s="185"/>
      <c r="O90" s="185"/>
      <c r="P90" s="185"/>
      <c r="Q90" s="185" t="s">
        <v>54</v>
      </c>
      <c r="R90" s="187" t="s">
        <v>137</v>
      </c>
    </row>
    <row r="91" spans="1:18" ht="18.95" customHeight="1" x14ac:dyDescent="0.2">
      <c r="A91" s="183"/>
      <c r="B91" s="191" t="s">
        <v>154</v>
      </c>
      <c r="C91" s="191"/>
      <c r="D91" s="233" t="s">
        <v>42</v>
      </c>
      <c r="E91" s="233" t="s">
        <v>42</v>
      </c>
      <c r="F91" s="233">
        <v>1</v>
      </c>
      <c r="G91" s="233" t="s">
        <v>42</v>
      </c>
      <c r="H91" s="233" t="s">
        <v>42</v>
      </c>
      <c r="I91" s="233" t="s">
        <v>42</v>
      </c>
      <c r="J91" s="233" t="s">
        <v>42</v>
      </c>
      <c r="K91" s="186"/>
      <c r="L91" s="186"/>
      <c r="M91" s="185"/>
      <c r="N91" s="185"/>
      <c r="O91" s="185"/>
      <c r="P91" s="185"/>
      <c r="Q91" s="185" t="s">
        <v>54</v>
      </c>
      <c r="R91" s="187" t="s">
        <v>156</v>
      </c>
    </row>
    <row r="92" spans="1:18" ht="18.95" customHeight="1" x14ac:dyDescent="0.2">
      <c r="A92" s="183"/>
      <c r="B92" s="191" t="s">
        <v>155</v>
      </c>
      <c r="C92" s="191"/>
      <c r="D92" s="233" t="s">
        <v>42</v>
      </c>
      <c r="E92" s="233">
        <v>1</v>
      </c>
      <c r="F92" s="233" t="s">
        <v>42</v>
      </c>
      <c r="G92" s="233" t="s">
        <v>42</v>
      </c>
      <c r="H92" s="233" t="s">
        <v>42</v>
      </c>
      <c r="I92" s="233" t="s">
        <v>42</v>
      </c>
      <c r="J92" s="233" t="s">
        <v>42</v>
      </c>
      <c r="K92" s="186"/>
      <c r="L92" s="186"/>
      <c r="M92" s="185"/>
      <c r="N92" s="185"/>
      <c r="O92" s="185"/>
      <c r="P92" s="185"/>
      <c r="Q92" s="185"/>
      <c r="R92" s="187"/>
    </row>
    <row r="93" spans="1:18" ht="18.95" customHeight="1" x14ac:dyDescent="0.2">
      <c r="A93" s="183"/>
      <c r="B93" s="191"/>
      <c r="C93" s="191"/>
      <c r="D93" s="233"/>
      <c r="E93" s="233"/>
      <c r="F93" s="233"/>
      <c r="G93" s="233"/>
      <c r="H93" s="233"/>
      <c r="I93" s="233"/>
      <c r="J93" s="233"/>
      <c r="K93" s="186"/>
      <c r="L93" s="186"/>
      <c r="M93" s="185"/>
      <c r="N93" s="185"/>
      <c r="O93" s="185"/>
      <c r="P93" s="185"/>
      <c r="Q93" s="185"/>
      <c r="R93" s="187"/>
    </row>
    <row r="94" spans="1:18" ht="18.95" customHeight="1" x14ac:dyDescent="0.2">
      <c r="A94" s="225"/>
      <c r="B94" s="226" t="s">
        <v>56</v>
      </c>
      <c r="C94" s="227"/>
      <c r="D94" s="228"/>
      <c r="E94" s="228"/>
      <c r="F94" s="228"/>
      <c r="G94" s="228"/>
      <c r="H94" s="228"/>
      <c r="I94" s="228"/>
      <c r="J94" s="228"/>
      <c r="K94" s="229"/>
      <c r="L94" s="229"/>
      <c r="M94" s="228"/>
      <c r="N94" s="228"/>
      <c r="O94" s="228"/>
      <c r="P94" s="228"/>
      <c r="Q94" s="228"/>
      <c r="R94" s="230"/>
    </row>
    <row r="95" spans="1:18" ht="18.95" customHeight="1" x14ac:dyDescent="0.2">
      <c r="A95" s="183"/>
      <c r="B95" s="191" t="s">
        <v>61</v>
      </c>
      <c r="C95" s="191"/>
      <c r="D95" s="233" t="s">
        <v>42</v>
      </c>
      <c r="E95" s="233" t="s">
        <v>42</v>
      </c>
      <c r="F95" s="233">
        <v>1</v>
      </c>
      <c r="G95" s="233" t="s">
        <v>42</v>
      </c>
      <c r="H95" s="233" t="s">
        <v>42</v>
      </c>
      <c r="I95" s="233" t="s">
        <v>42</v>
      </c>
      <c r="J95" s="233" t="s">
        <v>42</v>
      </c>
      <c r="K95" s="186"/>
      <c r="L95" s="186"/>
      <c r="M95" s="185"/>
      <c r="N95" s="185"/>
      <c r="O95" s="185"/>
      <c r="P95" s="185"/>
      <c r="Q95" s="185" t="s">
        <v>54</v>
      </c>
      <c r="R95" s="187" t="s">
        <v>137</v>
      </c>
    </row>
    <row r="96" spans="1:18" ht="18.95" customHeight="1" x14ac:dyDescent="0.2">
      <c r="A96" s="183"/>
      <c r="B96" s="191" t="s">
        <v>63</v>
      </c>
      <c r="C96" s="191"/>
      <c r="D96" s="233" t="s">
        <v>42</v>
      </c>
      <c r="E96" s="233" t="s">
        <v>42</v>
      </c>
      <c r="F96" s="233">
        <v>1</v>
      </c>
      <c r="G96" s="233" t="s">
        <v>42</v>
      </c>
      <c r="H96" s="233" t="s">
        <v>42</v>
      </c>
      <c r="I96" s="233" t="s">
        <v>42</v>
      </c>
      <c r="J96" s="233" t="s">
        <v>42</v>
      </c>
      <c r="K96" s="186"/>
      <c r="L96" s="186"/>
      <c r="M96" s="185"/>
      <c r="N96" s="185"/>
      <c r="O96" s="185"/>
      <c r="P96" s="185"/>
      <c r="Q96" s="185" t="s">
        <v>54</v>
      </c>
      <c r="R96" s="187" t="s">
        <v>137</v>
      </c>
    </row>
    <row r="97" spans="1:18" ht="18.95" customHeight="1" x14ac:dyDescent="0.2">
      <c r="A97" s="183"/>
      <c r="B97" s="191" t="s">
        <v>53</v>
      </c>
      <c r="C97" s="191"/>
      <c r="D97" s="233" t="s">
        <v>42</v>
      </c>
      <c r="E97" s="233" t="s">
        <v>42</v>
      </c>
      <c r="F97" s="233">
        <v>1</v>
      </c>
      <c r="G97" s="233" t="s">
        <v>42</v>
      </c>
      <c r="H97" s="233" t="s">
        <v>42</v>
      </c>
      <c r="I97" s="233" t="s">
        <v>42</v>
      </c>
      <c r="J97" s="233" t="s">
        <v>42</v>
      </c>
      <c r="K97" s="186"/>
      <c r="L97" s="186"/>
      <c r="M97" s="185"/>
      <c r="N97" s="185"/>
      <c r="O97" s="185"/>
      <c r="P97" s="185"/>
      <c r="Q97" s="185" t="s">
        <v>152</v>
      </c>
      <c r="R97" s="187" t="s">
        <v>151</v>
      </c>
    </row>
    <row r="98" spans="1:18" ht="18.95" customHeight="1" x14ac:dyDescent="0.2">
      <c r="A98" s="183"/>
      <c r="B98" s="191" t="s">
        <v>55</v>
      </c>
      <c r="C98" s="191"/>
      <c r="D98" s="233" t="s">
        <v>42</v>
      </c>
      <c r="E98" s="233" t="s">
        <v>42</v>
      </c>
      <c r="F98" s="233">
        <v>1</v>
      </c>
      <c r="G98" s="233" t="s">
        <v>42</v>
      </c>
      <c r="H98" s="233" t="s">
        <v>42</v>
      </c>
      <c r="I98" s="233" t="s">
        <v>42</v>
      </c>
      <c r="J98" s="233" t="s">
        <v>42</v>
      </c>
      <c r="K98" s="186"/>
      <c r="L98" s="186"/>
      <c r="M98" s="185"/>
      <c r="N98" s="185"/>
      <c r="O98" s="185"/>
      <c r="P98" s="185"/>
      <c r="Q98" s="185" t="s">
        <v>152</v>
      </c>
      <c r="R98" s="187" t="s">
        <v>151</v>
      </c>
    </row>
    <row r="99" spans="1:18" ht="18.95" customHeight="1" x14ac:dyDescent="0.2">
      <c r="A99" s="183"/>
      <c r="B99" s="191" t="s">
        <v>57</v>
      </c>
      <c r="C99" s="191"/>
      <c r="D99" s="233" t="s">
        <v>42</v>
      </c>
      <c r="E99" s="233" t="s">
        <v>42</v>
      </c>
      <c r="F99" s="233" t="s">
        <v>42</v>
      </c>
      <c r="G99" s="233">
        <v>1</v>
      </c>
      <c r="H99" s="233" t="s">
        <v>42</v>
      </c>
      <c r="I99" s="233" t="s">
        <v>42</v>
      </c>
      <c r="J99" s="233" t="s">
        <v>42</v>
      </c>
      <c r="K99" s="186">
        <v>0.5</v>
      </c>
      <c r="L99" s="186"/>
      <c r="M99" s="185">
        <v>230</v>
      </c>
      <c r="N99" s="185"/>
      <c r="O99" s="185"/>
      <c r="P99" s="185"/>
      <c r="Q99" s="185" t="s">
        <v>58</v>
      </c>
      <c r="R99" s="187" t="s">
        <v>59</v>
      </c>
    </row>
    <row r="100" spans="1:18" ht="18.95" customHeight="1" x14ac:dyDescent="0.2">
      <c r="A100" s="183"/>
      <c r="B100" s="191" t="s">
        <v>60</v>
      </c>
      <c r="C100" s="191"/>
      <c r="D100" s="233" t="s">
        <v>42</v>
      </c>
      <c r="E100" s="233">
        <v>1</v>
      </c>
      <c r="F100" s="233" t="s">
        <v>42</v>
      </c>
      <c r="G100" s="233" t="s">
        <v>42</v>
      </c>
      <c r="H100" s="233" t="s">
        <v>42</v>
      </c>
      <c r="I100" s="233" t="s">
        <v>42</v>
      </c>
      <c r="J100" s="233" t="s">
        <v>42</v>
      </c>
      <c r="K100" s="186"/>
      <c r="L100" s="186"/>
      <c r="M100" s="185"/>
      <c r="N100" s="185"/>
      <c r="O100" s="185"/>
      <c r="P100" s="185"/>
      <c r="Q100" s="185"/>
      <c r="R100" s="187"/>
    </row>
    <row r="101" spans="1:18" ht="18.95" customHeight="1" x14ac:dyDescent="0.2">
      <c r="A101" s="183"/>
      <c r="B101" s="191" t="s">
        <v>153</v>
      </c>
      <c r="C101" s="191"/>
      <c r="D101" s="233" t="s">
        <v>42</v>
      </c>
      <c r="E101" s="233" t="s">
        <v>42</v>
      </c>
      <c r="F101" s="233" t="s">
        <v>42</v>
      </c>
      <c r="G101" s="233">
        <v>1</v>
      </c>
      <c r="H101" s="233" t="s">
        <v>42</v>
      </c>
      <c r="I101" s="233" t="s">
        <v>42</v>
      </c>
      <c r="J101" s="233" t="s">
        <v>42</v>
      </c>
      <c r="K101" s="186"/>
      <c r="L101" s="186"/>
      <c r="M101" s="185"/>
      <c r="N101" s="185"/>
      <c r="O101" s="185"/>
      <c r="P101" s="185"/>
      <c r="Q101" s="185"/>
      <c r="R101" s="187"/>
    </row>
    <row r="102" spans="1:18" ht="18.95" customHeight="1" x14ac:dyDescent="0.2">
      <c r="A102" s="183"/>
      <c r="B102" s="191" t="s">
        <v>61</v>
      </c>
      <c r="C102" s="191"/>
      <c r="D102" s="233" t="s">
        <v>42</v>
      </c>
      <c r="E102" s="233" t="s">
        <v>42</v>
      </c>
      <c r="F102" s="233">
        <v>1</v>
      </c>
      <c r="G102" s="233" t="s">
        <v>42</v>
      </c>
      <c r="H102" s="233" t="s">
        <v>42</v>
      </c>
      <c r="I102" s="233" t="s">
        <v>42</v>
      </c>
      <c r="J102" s="233" t="s">
        <v>42</v>
      </c>
      <c r="K102" s="186"/>
      <c r="L102" s="186"/>
      <c r="M102" s="185"/>
      <c r="N102" s="185"/>
      <c r="O102" s="185"/>
      <c r="P102" s="185"/>
      <c r="Q102" s="185" t="s">
        <v>54</v>
      </c>
      <c r="R102" s="187" t="s">
        <v>137</v>
      </c>
    </row>
    <row r="103" spans="1:18" ht="18.95" customHeight="1" x14ac:dyDescent="0.2">
      <c r="A103" s="183"/>
      <c r="B103" s="191" t="s">
        <v>63</v>
      </c>
      <c r="C103" s="191"/>
      <c r="D103" s="233" t="s">
        <v>42</v>
      </c>
      <c r="E103" s="233" t="s">
        <v>42</v>
      </c>
      <c r="F103" s="233">
        <v>1</v>
      </c>
      <c r="G103" s="233" t="s">
        <v>42</v>
      </c>
      <c r="H103" s="233" t="s">
        <v>42</v>
      </c>
      <c r="I103" s="233" t="s">
        <v>42</v>
      </c>
      <c r="J103" s="233" t="s">
        <v>42</v>
      </c>
      <c r="K103" s="186"/>
      <c r="L103" s="186"/>
      <c r="M103" s="185"/>
      <c r="N103" s="185"/>
      <c r="O103" s="185"/>
      <c r="P103" s="185"/>
      <c r="Q103" s="185" t="s">
        <v>54</v>
      </c>
      <c r="R103" s="187" t="s">
        <v>137</v>
      </c>
    </row>
    <row r="104" spans="1:18" ht="18.95" customHeight="1" x14ac:dyDescent="0.2">
      <c r="A104" s="183"/>
      <c r="B104" s="191" t="s">
        <v>154</v>
      </c>
      <c r="C104" s="191"/>
      <c r="D104" s="233" t="s">
        <v>42</v>
      </c>
      <c r="E104" s="233" t="s">
        <v>42</v>
      </c>
      <c r="F104" s="233">
        <v>1</v>
      </c>
      <c r="G104" s="233" t="s">
        <v>42</v>
      </c>
      <c r="H104" s="233" t="s">
        <v>42</v>
      </c>
      <c r="I104" s="233" t="s">
        <v>42</v>
      </c>
      <c r="J104" s="233" t="s">
        <v>42</v>
      </c>
      <c r="K104" s="186"/>
      <c r="L104" s="186"/>
      <c r="M104" s="185"/>
      <c r="N104" s="185"/>
      <c r="O104" s="185"/>
      <c r="P104" s="185"/>
      <c r="Q104" s="185" t="s">
        <v>54</v>
      </c>
      <c r="R104" s="187" t="s">
        <v>156</v>
      </c>
    </row>
    <row r="105" spans="1:18" ht="18.95" customHeight="1" x14ac:dyDescent="0.2">
      <c r="A105" s="183"/>
      <c r="B105" s="191" t="s">
        <v>155</v>
      </c>
      <c r="C105" s="191"/>
      <c r="D105" s="233" t="s">
        <v>42</v>
      </c>
      <c r="E105" s="233">
        <v>1</v>
      </c>
      <c r="F105" s="233" t="s">
        <v>42</v>
      </c>
      <c r="G105" s="233" t="s">
        <v>42</v>
      </c>
      <c r="H105" s="233" t="s">
        <v>42</v>
      </c>
      <c r="I105" s="233" t="s">
        <v>42</v>
      </c>
      <c r="J105" s="233" t="s">
        <v>42</v>
      </c>
      <c r="K105" s="186"/>
      <c r="L105" s="186"/>
      <c r="M105" s="185"/>
      <c r="N105" s="185"/>
      <c r="O105" s="185"/>
      <c r="P105" s="185"/>
      <c r="Q105" s="185"/>
      <c r="R105" s="187"/>
    </row>
    <row r="106" spans="1:18" ht="18.95" customHeight="1" x14ac:dyDescent="0.2">
      <c r="A106" s="183"/>
      <c r="B106" s="191"/>
      <c r="C106" s="191"/>
      <c r="D106" s="233"/>
      <c r="E106" s="233"/>
      <c r="F106" s="233"/>
      <c r="G106" s="233"/>
      <c r="H106" s="233"/>
      <c r="I106" s="233"/>
      <c r="J106" s="233"/>
      <c r="K106" s="186"/>
      <c r="L106" s="186"/>
      <c r="M106" s="185"/>
      <c r="N106" s="185"/>
      <c r="O106" s="185"/>
      <c r="P106" s="185"/>
      <c r="Q106" s="185"/>
      <c r="R106" s="187"/>
    </row>
    <row r="107" spans="1:18" ht="18.95" customHeight="1" x14ac:dyDescent="0.2">
      <c r="A107" s="225"/>
      <c r="B107" s="226" t="s">
        <v>157</v>
      </c>
      <c r="C107" s="227"/>
      <c r="D107" s="228"/>
      <c r="E107" s="228"/>
      <c r="F107" s="228"/>
      <c r="G107" s="228"/>
      <c r="H107" s="228"/>
      <c r="I107" s="228"/>
      <c r="J107" s="228"/>
      <c r="K107" s="229"/>
      <c r="L107" s="229"/>
      <c r="M107" s="228"/>
      <c r="N107" s="228"/>
      <c r="O107" s="228"/>
      <c r="P107" s="228"/>
      <c r="Q107" s="228"/>
      <c r="R107" s="230"/>
    </row>
    <row r="108" spans="1:18" ht="18.95" customHeight="1" x14ac:dyDescent="0.2">
      <c r="A108" s="183"/>
      <c r="B108" s="191" t="s">
        <v>158</v>
      </c>
      <c r="C108" s="191"/>
      <c r="D108" s="233" t="s">
        <v>42</v>
      </c>
      <c r="E108" s="233" t="s">
        <v>42</v>
      </c>
      <c r="F108" s="233" t="s">
        <v>42</v>
      </c>
      <c r="G108" s="233">
        <v>3</v>
      </c>
      <c r="H108" s="233" t="s">
        <v>42</v>
      </c>
      <c r="I108" s="233" t="s">
        <v>42</v>
      </c>
      <c r="J108" s="233" t="s">
        <v>42</v>
      </c>
      <c r="K108" s="186"/>
      <c r="L108" s="186"/>
      <c r="M108" s="185"/>
      <c r="N108" s="185"/>
      <c r="O108" s="185"/>
      <c r="P108" s="185"/>
      <c r="Q108" s="185"/>
      <c r="R108" s="187" t="s">
        <v>150</v>
      </c>
    </row>
    <row r="109" spans="1:18" ht="18.95" customHeight="1" x14ac:dyDescent="0.2">
      <c r="A109" s="183"/>
      <c r="B109" s="191" t="s">
        <v>159</v>
      </c>
      <c r="C109" s="191"/>
      <c r="D109" s="233" t="s">
        <v>42</v>
      </c>
      <c r="E109" s="233" t="s">
        <v>42</v>
      </c>
      <c r="F109" s="233" t="s">
        <v>42</v>
      </c>
      <c r="G109" s="233">
        <v>3</v>
      </c>
      <c r="H109" s="233" t="s">
        <v>42</v>
      </c>
      <c r="I109" s="233" t="s">
        <v>42</v>
      </c>
      <c r="J109" s="233" t="s">
        <v>42</v>
      </c>
      <c r="K109" s="186"/>
      <c r="L109" s="186"/>
      <c r="M109" s="185"/>
      <c r="N109" s="185"/>
      <c r="O109" s="185"/>
      <c r="P109" s="185"/>
      <c r="Q109" s="185"/>
      <c r="R109" s="187" t="s">
        <v>150</v>
      </c>
    </row>
    <row r="110" spans="1:18" ht="18.95" customHeight="1" x14ac:dyDescent="0.2">
      <c r="A110" s="183"/>
      <c r="B110" s="191" t="s">
        <v>160</v>
      </c>
      <c r="C110" s="191"/>
      <c r="D110" s="233" t="s">
        <v>42</v>
      </c>
      <c r="E110" s="233" t="s">
        <v>42</v>
      </c>
      <c r="F110" s="233" t="s">
        <v>42</v>
      </c>
      <c r="G110" s="233">
        <v>3</v>
      </c>
      <c r="H110" s="233" t="s">
        <v>42</v>
      </c>
      <c r="I110" s="233" t="s">
        <v>42</v>
      </c>
      <c r="J110" s="233" t="s">
        <v>42</v>
      </c>
      <c r="K110" s="186"/>
      <c r="L110" s="186"/>
      <c r="M110" s="185"/>
      <c r="N110" s="185"/>
      <c r="O110" s="185"/>
      <c r="P110" s="185"/>
      <c r="Q110" s="185"/>
      <c r="R110" s="187" t="s">
        <v>150</v>
      </c>
    </row>
    <row r="111" spans="1:18" ht="18.95" customHeight="1" x14ac:dyDescent="0.2">
      <c r="A111" s="183"/>
      <c r="B111" s="191" t="s">
        <v>161</v>
      </c>
      <c r="C111" s="191"/>
      <c r="D111" s="233" t="s">
        <v>42</v>
      </c>
      <c r="E111" s="233" t="s">
        <v>42</v>
      </c>
      <c r="F111" s="233" t="s">
        <v>42</v>
      </c>
      <c r="G111" s="233">
        <v>3</v>
      </c>
      <c r="H111" s="233" t="s">
        <v>42</v>
      </c>
      <c r="I111" s="233" t="s">
        <v>42</v>
      </c>
      <c r="J111" s="233" t="s">
        <v>42</v>
      </c>
      <c r="K111" s="186"/>
      <c r="L111" s="186"/>
      <c r="M111" s="185"/>
      <c r="N111" s="185"/>
      <c r="O111" s="185"/>
      <c r="P111" s="185"/>
      <c r="Q111" s="185"/>
      <c r="R111" s="187" t="s">
        <v>150</v>
      </c>
    </row>
    <row r="112" spans="1:18" ht="18.95" customHeight="1" x14ac:dyDescent="0.2">
      <c r="A112" s="183"/>
      <c r="B112" s="191" t="s">
        <v>61</v>
      </c>
      <c r="C112" s="191"/>
      <c r="D112" s="233" t="s">
        <v>42</v>
      </c>
      <c r="E112" s="233" t="s">
        <v>42</v>
      </c>
      <c r="F112" s="233">
        <v>1</v>
      </c>
      <c r="G112" s="233" t="s">
        <v>42</v>
      </c>
      <c r="H112" s="233" t="s">
        <v>42</v>
      </c>
      <c r="I112" s="233" t="s">
        <v>42</v>
      </c>
      <c r="J112" s="233" t="s">
        <v>42</v>
      </c>
      <c r="K112" s="186"/>
      <c r="L112" s="186"/>
      <c r="M112" s="185"/>
      <c r="N112" s="185"/>
      <c r="O112" s="185"/>
      <c r="P112" s="185"/>
      <c r="Q112" s="185" t="s">
        <v>54</v>
      </c>
      <c r="R112" s="142"/>
    </row>
    <row r="113" spans="1:18" ht="18.95" customHeight="1" x14ac:dyDescent="0.2">
      <c r="A113" s="183"/>
      <c r="B113" s="191" t="s">
        <v>63</v>
      </c>
      <c r="C113" s="191"/>
      <c r="D113" s="233" t="s">
        <v>42</v>
      </c>
      <c r="E113" s="233" t="s">
        <v>42</v>
      </c>
      <c r="F113" s="233">
        <v>1</v>
      </c>
      <c r="G113" s="233" t="s">
        <v>42</v>
      </c>
      <c r="H113" s="233" t="s">
        <v>42</v>
      </c>
      <c r="I113" s="233" t="s">
        <v>42</v>
      </c>
      <c r="J113" s="233" t="s">
        <v>42</v>
      </c>
      <c r="K113" s="186"/>
      <c r="L113" s="186"/>
      <c r="M113" s="185"/>
      <c r="N113" s="185"/>
      <c r="O113" s="185"/>
      <c r="P113" s="185"/>
      <c r="Q113" s="185" t="s">
        <v>54</v>
      </c>
      <c r="R113" s="142"/>
    </row>
    <row r="114" spans="1:18" ht="18.95" customHeight="1" x14ac:dyDescent="0.2">
      <c r="A114" s="183"/>
      <c r="B114" s="191"/>
      <c r="C114" s="191"/>
      <c r="D114" s="233"/>
      <c r="E114" s="233"/>
      <c r="F114" s="233"/>
      <c r="G114" s="233"/>
      <c r="H114" s="233"/>
      <c r="I114" s="233"/>
      <c r="J114" s="233"/>
      <c r="K114" s="186"/>
      <c r="L114" s="186"/>
      <c r="M114" s="185"/>
      <c r="N114" s="185"/>
      <c r="O114" s="185"/>
      <c r="P114" s="185"/>
      <c r="Q114" s="185"/>
      <c r="R114" s="187"/>
    </row>
    <row r="115" spans="1:18" ht="18.95" customHeight="1" x14ac:dyDescent="0.2">
      <c r="A115" s="225"/>
      <c r="B115" s="226" t="s">
        <v>162</v>
      </c>
      <c r="C115" s="227"/>
      <c r="D115" s="228"/>
      <c r="E115" s="228"/>
      <c r="F115" s="228"/>
      <c r="G115" s="228"/>
      <c r="H115" s="228"/>
      <c r="I115" s="228"/>
      <c r="J115" s="228"/>
      <c r="K115" s="229"/>
      <c r="L115" s="229"/>
      <c r="M115" s="228"/>
      <c r="N115" s="228"/>
      <c r="O115" s="228"/>
      <c r="P115" s="228"/>
      <c r="Q115" s="228"/>
      <c r="R115" s="230"/>
    </row>
    <row r="116" spans="1:18" ht="18.95" customHeight="1" x14ac:dyDescent="0.2">
      <c r="A116" s="183"/>
      <c r="B116" s="191" t="s">
        <v>57</v>
      </c>
      <c r="C116" s="191"/>
      <c r="D116" s="233" t="s">
        <v>42</v>
      </c>
      <c r="E116" s="233" t="s">
        <v>42</v>
      </c>
      <c r="F116" s="233" t="s">
        <v>42</v>
      </c>
      <c r="G116" s="233">
        <v>1</v>
      </c>
      <c r="H116" s="233" t="s">
        <v>42</v>
      </c>
      <c r="I116" s="233" t="s">
        <v>42</v>
      </c>
      <c r="J116" s="233" t="s">
        <v>42</v>
      </c>
      <c r="K116" s="186">
        <v>0.5</v>
      </c>
      <c r="L116" s="186"/>
      <c r="M116" s="185">
        <v>230</v>
      </c>
      <c r="N116" s="185"/>
      <c r="O116" s="185"/>
      <c r="P116" s="185"/>
      <c r="Q116" s="185" t="s">
        <v>58</v>
      </c>
      <c r="R116" s="187" t="s">
        <v>59</v>
      </c>
    </row>
    <row r="117" spans="1:18" ht="18.95" customHeight="1" x14ac:dyDescent="0.2">
      <c r="A117" s="183"/>
      <c r="B117" s="191" t="s">
        <v>60</v>
      </c>
      <c r="C117" s="191"/>
      <c r="D117" s="233" t="s">
        <v>42</v>
      </c>
      <c r="E117" s="233">
        <v>1</v>
      </c>
      <c r="F117" s="233" t="s">
        <v>42</v>
      </c>
      <c r="G117" s="233" t="s">
        <v>42</v>
      </c>
      <c r="H117" s="233" t="s">
        <v>42</v>
      </c>
      <c r="I117" s="233" t="s">
        <v>42</v>
      </c>
      <c r="J117" s="233" t="s">
        <v>42</v>
      </c>
      <c r="K117" s="186"/>
      <c r="L117" s="186"/>
      <c r="M117" s="185"/>
      <c r="N117" s="185"/>
      <c r="O117" s="185"/>
      <c r="P117" s="185"/>
      <c r="Q117" s="185"/>
      <c r="R117" s="187"/>
    </row>
    <row r="118" spans="1:18" ht="18.95" customHeight="1" x14ac:dyDescent="0.2">
      <c r="A118" s="183"/>
      <c r="B118" s="191" t="s">
        <v>163</v>
      </c>
      <c r="C118" s="191"/>
      <c r="D118" s="233" t="s">
        <v>42</v>
      </c>
      <c r="E118" s="233" t="s">
        <v>42</v>
      </c>
      <c r="F118" s="233" t="s">
        <v>42</v>
      </c>
      <c r="G118" s="233" t="s">
        <v>42</v>
      </c>
      <c r="H118" s="233">
        <v>1</v>
      </c>
      <c r="I118" s="233" t="s">
        <v>42</v>
      </c>
      <c r="J118" s="233" t="s">
        <v>42</v>
      </c>
      <c r="K118" s="186"/>
      <c r="L118" s="186"/>
      <c r="M118" s="185"/>
      <c r="N118" s="185"/>
      <c r="O118" s="185"/>
      <c r="P118" s="185"/>
      <c r="Q118" s="185" t="s">
        <v>54</v>
      </c>
      <c r="R118" s="187" t="s">
        <v>164</v>
      </c>
    </row>
    <row r="119" spans="1:18" ht="18.95" customHeight="1" x14ac:dyDescent="0.2">
      <c r="A119" s="183"/>
      <c r="B119" s="191" t="s">
        <v>61</v>
      </c>
      <c r="C119" s="191"/>
      <c r="D119" s="233" t="s">
        <v>42</v>
      </c>
      <c r="E119" s="233" t="s">
        <v>42</v>
      </c>
      <c r="F119" s="233">
        <v>1</v>
      </c>
      <c r="G119" s="233" t="s">
        <v>42</v>
      </c>
      <c r="H119" s="233" t="s">
        <v>42</v>
      </c>
      <c r="I119" s="233" t="s">
        <v>42</v>
      </c>
      <c r="J119" s="233" t="s">
        <v>42</v>
      </c>
      <c r="K119" s="186"/>
      <c r="L119" s="186"/>
      <c r="M119" s="185"/>
      <c r="N119" s="185"/>
      <c r="O119" s="185"/>
      <c r="P119" s="185"/>
      <c r="Q119" s="185" t="s">
        <v>54</v>
      </c>
      <c r="R119" s="187" t="s">
        <v>137</v>
      </c>
    </row>
    <row r="120" spans="1:18" ht="18.95" customHeight="1" x14ac:dyDescent="0.2">
      <c r="A120" s="183"/>
      <c r="B120" s="191" t="s">
        <v>63</v>
      </c>
      <c r="C120" s="191"/>
      <c r="D120" s="233" t="s">
        <v>42</v>
      </c>
      <c r="E120" s="233" t="s">
        <v>42</v>
      </c>
      <c r="F120" s="233">
        <v>1</v>
      </c>
      <c r="G120" s="233" t="s">
        <v>42</v>
      </c>
      <c r="H120" s="233" t="s">
        <v>42</v>
      </c>
      <c r="I120" s="233" t="s">
        <v>42</v>
      </c>
      <c r="J120" s="233" t="s">
        <v>42</v>
      </c>
      <c r="K120" s="186"/>
      <c r="L120" s="186"/>
      <c r="M120" s="185"/>
      <c r="N120" s="185"/>
      <c r="O120" s="185"/>
      <c r="P120" s="185"/>
      <c r="Q120" s="185" t="s">
        <v>54</v>
      </c>
      <c r="R120" s="187" t="s">
        <v>137</v>
      </c>
    </row>
    <row r="121" spans="1:18" ht="18.95" customHeight="1" x14ac:dyDescent="0.2">
      <c r="A121" s="183"/>
      <c r="B121" s="191"/>
      <c r="C121" s="191"/>
      <c r="D121" s="233"/>
      <c r="E121" s="233"/>
      <c r="F121" s="233"/>
      <c r="G121" s="233"/>
      <c r="H121" s="233"/>
      <c r="I121" s="233"/>
      <c r="J121" s="233"/>
      <c r="K121" s="186"/>
      <c r="L121" s="186"/>
      <c r="M121" s="185"/>
      <c r="N121" s="185"/>
      <c r="O121" s="185"/>
      <c r="P121" s="185"/>
      <c r="Q121" s="185"/>
      <c r="R121" s="187"/>
    </row>
    <row r="122" spans="1:18" ht="18.95" customHeight="1" x14ac:dyDescent="0.2">
      <c r="A122" s="225"/>
      <c r="B122" s="226" t="s">
        <v>165</v>
      </c>
      <c r="C122" s="227"/>
      <c r="D122" s="228"/>
      <c r="E122" s="228"/>
      <c r="F122" s="228"/>
      <c r="G122" s="228"/>
      <c r="H122" s="228"/>
      <c r="I122" s="228"/>
      <c r="J122" s="228"/>
      <c r="K122" s="229"/>
      <c r="L122" s="229"/>
      <c r="M122" s="228"/>
      <c r="N122" s="228"/>
      <c r="O122" s="228"/>
      <c r="P122" s="228"/>
      <c r="Q122" s="228"/>
      <c r="R122" s="230"/>
    </row>
    <row r="123" spans="1:18" ht="18.95" customHeight="1" x14ac:dyDescent="0.2">
      <c r="A123" s="183"/>
      <c r="B123" s="191" t="s">
        <v>57</v>
      </c>
      <c r="C123" s="191"/>
      <c r="D123" s="233" t="s">
        <v>42</v>
      </c>
      <c r="E123" s="233" t="s">
        <v>42</v>
      </c>
      <c r="F123" s="233" t="s">
        <v>42</v>
      </c>
      <c r="G123" s="233">
        <v>1</v>
      </c>
      <c r="H123" s="233" t="s">
        <v>42</v>
      </c>
      <c r="I123" s="233" t="s">
        <v>42</v>
      </c>
      <c r="J123" s="233" t="s">
        <v>42</v>
      </c>
      <c r="K123" s="186">
        <v>0.5</v>
      </c>
      <c r="L123" s="186"/>
      <c r="M123" s="185">
        <v>230</v>
      </c>
      <c r="N123" s="185"/>
      <c r="O123" s="185"/>
      <c r="P123" s="185"/>
      <c r="Q123" s="185" t="s">
        <v>58</v>
      </c>
      <c r="R123" s="187" t="s">
        <v>59</v>
      </c>
    </row>
    <row r="124" spans="1:18" ht="18.95" customHeight="1" x14ac:dyDescent="0.2">
      <c r="A124" s="183"/>
      <c r="B124" s="191" t="s">
        <v>60</v>
      </c>
      <c r="C124" s="191"/>
      <c r="D124" s="233" t="s">
        <v>42</v>
      </c>
      <c r="E124" s="233">
        <v>1</v>
      </c>
      <c r="F124" s="233" t="s">
        <v>42</v>
      </c>
      <c r="G124" s="233" t="s">
        <v>42</v>
      </c>
      <c r="H124" s="233" t="s">
        <v>42</v>
      </c>
      <c r="I124" s="233" t="s">
        <v>42</v>
      </c>
      <c r="J124" s="233" t="s">
        <v>42</v>
      </c>
      <c r="K124" s="186"/>
      <c r="L124" s="186"/>
      <c r="M124" s="185"/>
      <c r="N124" s="185"/>
      <c r="O124" s="185"/>
      <c r="P124" s="185"/>
      <c r="Q124" s="185"/>
      <c r="R124" s="187"/>
    </row>
    <row r="125" spans="1:18" ht="18.95" customHeight="1" x14ac:dyDescent="0.2">
      <c r="A125" s="183"/>
      <c r="B125" s="191" t="s">
        <v>163</v>
      </c>
      <c r="C125" s="191"/>
      <c r="D125" s="233" t="s">
        <v>42</v>
      </c>
      <c r="E125" s="233" t="s">
        <v>42</v>
      </c>
      <c r="F125" s="233" t="s">
        <v>42</v>
      </c>
      <c r="G125" s="233" t="s">
        <v>42</v>
      </c>
      <c r="H125" s="233">
        <v>1</v>
      </c>
      <c r="I125" s="233" t="s">
        <v>42</v>
      </c>
      <c r="J125" s="233" t="s">
        <v>42</v>
      </c>
      <c r="K125" s="186"/>
      <c r="L125" s="186"/>
      <c r="M125" s="185"/>
      <c r="N125" s="185"/>
      <c r="O125" s="185"/>
      <c r="P125" s="185"/>
      <c r="Q125" s="185" t="s">
        <v>54</v>
      </c>
      <c r="R125" s="187" t="s">
        <v>164</v>
      </c>
    </row>
    <row r="126" spans="1:18" ht="18.95" customHeight="1" x14ac:dyDescent="0.2">
      <c r="A126" s="183"/>
      <c r="B126" s="191" t="s">
        <v>61</v>
      </c>
      <c r="C126" s="191"/>
      <c r="D126" s="233" t="s">
        <v>42</v>
      </c>
      <c r="E126" s="233" t="s">
        <v>42</v>
      </c>
      <c r="F126" s="233">
        <v>1</v>
      </c>
      <c r="G126" s="233" t="s">
        <v>42</v>
      </c>
      <c r="H126" s="233" t="s">
        <v>42</v>
      </c>
      <c r="I126" s="233" t="s">
        <v>42</v>
      </c>
      <c r="J126" s="233" t="s">
        <v>42</v>
      </c>
      <c r="K126" s="186"/>
      <c r="L126" s="186"/>
      <c r="M126" s="185"/>
      <c r="N126" s="185"/>
      <c r="O126" s="185"/>
      <c r="P126" s="185"/>
      <c r="Q126" s="185" t="s">
        <v>54</v>
      </c>
      <c r="R126" s="187" t="s">
        <v>137</v>
      </c>
    </row>
    <row r="127" spans="1:18" ht="18.95" customHeight="1" x14ac:dyDescent="0.2">
      <c r="A127" s="183"/>
      <c r="B127" s="191" t="s">
        <v>63</v>
      </c>
      <c r="C127" s="191"/>
      <c r="D127" s="233" t="s">
        <v>42</v>
      </c>
      <c r="E127" s="233" t="s">
        <v>42</v>
      </c>
      <c r="F127" s="233">
        <v>1</v>
      </c>
      <c r="G127" s="233" t="s">
        <v>42</v>
      </c>
      <c r="H127" s="233" t="s">
        <v>42</v>
      </c>
      <c r="I127" s="233" t="s">
        <v>42</v>
      </c>
      <c r="J127" s="233" t="s">
        <v>42</v>
      </c>
      <c r="K127" s="186"/>
      <c r="L127" s="186"/>
      <c r="M127" s="185"/>
      <c r="N127" s="185"/>
      <c r="O127" s="185"/>
      <c r="P127" s="185"/>
      <c r="Q127" s="185" t="s">
        <v>54</v>
      </c>
      <c r="R127" s="187" t="s">
        <v>137</v>
      </c>
    </row>
    <row r="128" spans="1:18" ht="18.95" customHeight="1" x14ac:dyDescent="0.2">
      <c r="A128" s="183"/>
      <c r="B128" s="191"/>
      <c r="C128" s="191"/>
      <c r="D128" s="233"/>
      <c r="E128" s="233"/>
      <c r="F128" s="233"/>
      <c r="G128" s="233"/>
      <c r="H128" s="233"/>
      <c r="I128" s="233"/>
      <c r="J128" s="233"/>
      <c r="K128" s="186"/>
      <c r="L128" s="186"/>
      <c r="M128" s="185"/>
      <c r="N128" s="185"/>
      <c r="O128" s="185"/>
      <c r="P128" s="185"/>
      <c r="Q128" s="185"/>
      <c r="R128" s="187"/>
    </row>
    <row r="129" spans="1:18" ht="18.95" customHeight="1" x14ac:dyDescent="0.2">
      <c r="A129" s="225"/>
      <c r="B129" s="226" t="s">
        <v>166</v>
      </c>
      <c r="C129" s="227"/>
      <c r="D129" s="228"/>
      <c r="E129" s="228"/>
      <c r="F129" s="228"/>
      <c r="G129" s="228"/>
      <c r="H129" s="228"/>
      <c r="I129" s="228"/>
      <c r="J129" s="228"/>
      <c r="K129" s="229"/>
      <c r="L129" s="229"/>
      <c r="M129" s="228"/>
      <c r="N129" s="228"/>
      <c r="O129" s="228"/>
      <c r="P129" s="228"/>
      <c r="Q129" s="228"/>
      <c r="R129" s="230"/>
    </row>
    <row r="130" spans="1:18" ht="18.95" customHeight="1" x14ac:dyDescent="0.2">
      <c r="A130" s="183"/>
      <c r="B130" s="191" t="s">
        <v>57</v>
      </c>
      <c r="C130" s="191"/>
      <c r="D130" s="233" t="s">
        <v>42</v>
      </c>
      <c r="E130" s="233" t="s">
        <v>42</v>
      </c>
      <c r="F130" s="233" t="s">
        <v>42</v>
      </c>
      <c r="G130" s="233">
        <v>1</v>
      </c>
      <c r="H130" s="233" t="s">
        <v>42</v>
      </c>
      <c r="I130" s="233" t="s">
        <v>42</v>
      </c>
      <c r="J130" s="233" t="s">
        <v>42</v>
      </c>
      <c r="K130" s="186">
        <v>0.5</v>
      </c>
      <c r="L130" s="186"/>
      <c r="M130" s="185">
        <v>230</v>
      </c>
      <c r="N130" s="185"/>
      <c r="O130" s="185"/>
      <c r="P130" s="185"/>
      <c r="Q130" s="185" t="s">
        <v>58</v>
      </c>
      <c r="R130" s="187" t="s">
        <v>59</v>
      </c>
    </row>
    <row r="131" spans="1:18" ht="18.95" customHeight="1" x14ac:dyDescent="0.2">
      <c r="A131" s="183"/>
      <c r="B131" s="191" t="s">
        <v>60</v>
      </c>
      <c r="C131" s="191"/>
      <c r="D131" s="233" t="s">
        <v>42</v>
      </c>
      <c r="E131" s="233">
        <v>1</v>
      </c>
      <c r="F131" s="233" t="s">
        <v>42</v>
      </c>
      <c r="G131" s="233" t="s">
        <v>42</v>
      </c>
      <c r="H131" s="233" t="s">
        <v>42</v>
      </c>
      <c r="I131" s="233" t="s">
        <v>42</v>
      </c>
      <c r="J131" s="233" t="s">
        <v>42</v>
      </c>
      <c r="K131" s="186"/>
      <c r="L131" s="186"/>
      <c r="M131" s="185"/>
      <c r="N131" s="185"/>
      <c r="O131" s="185"/>
      <c r="P131" s="185"/>
      <c r="Q131" s="185"/>
      <c r="R131" s="187"/>
    </row>
    <row r="132" spans="1:18" ht="18.95" customHeight="1" x14ac:dyDescent="0.2">
      <c r="A132" s="183"/>
      <c r="B132" s="191" t="s">
        <v>163</v>
      </c>
      <c r="C132" s="191"/>
      <c r="D132" s="233" t="s">
        <v>42</v>
      </c>
      <c r="E132" s="233" t="s">
        <v>42</v>
      </c>
      <c r="F132" s="233" t="s">
        <v>42</v>
      </c>
      <c r="G132" s="233" t="s">
        <v>42</v>
      </c>
      <c r="H132" s="233">
        <v>1</v>
      </c>
      <c r="I132" s="233" t="s">
        <v>42</v>
      </c>
      <c r="J132" s="233" t="s">
        <v>42</v>
      </c>
      <c r="K132" s="186"/>
      <c r="L132" s="186"/>
      <c r="M132" s="185"/>
      <c r="N132" s="185"/>
      <c r="O132" s="185"/>
      <c r="P132" s="185"/>
      <c r="Q132" s="185" t="s">
        <v>54</v>
      </c>
      <c r="R132" s="187" t="s">
        <v>164</v>
      </c>
    </row>
    <row r="133" spans="1:18" ht="18.95" customHeight="1" x14ac:dyDescent="0.2">
      <c r="A133" s="183"/>
      <c r="B133" s="191" t="s">
        <v>61</v>
      </c>
      <c r="C133" s="191"/>
      <c r="D133" s="233" t="s">
        <v>42</v>
      </c>
      <c r="E133" s="233" t="s">
        <v>42</v>
      </c>
      <c r="F133" s="233">
        <v>1</v>
      </c>
      <c r="G133" s="233" t="s">
        <v>42</v>
      </c>
      <c r="H133" s="233" t="s">
        <v>42</v>
      </c>
      <c r="I133" s="233" t="s">
        <v>42</v>
      </c>
      <c r="J133" s="233" t="s">
        <v>42</v>
      </c>
      <c r="K133" s="186"/>
      <c r="L133" s="186"/>
      <c r="M133" s="185"/>
      <c r="N133" s="185"/>
      <c r="O133" s="185"/>
      <c r="P133" s="185"/>
      <c r="Q133" s="185" t="s">
        <v>54</v>
      </c>
      <c r="R133" s="187" t="s">
        <v>137</v>
      </c>
    </row>
    <row r="134" spans="1:18" ht="18.95" customHeight="1" x14ac:dyDescent="0.2">
      <c r="A134" s="183"/>
      <c r="B134" s="191" t="s">
        <v>63</v>
      </c>
      <c r="C134" s="191"/>
      <c r="D134" s="233" t="s">
        <v>42</v>
      </c>
      <c r="E134" s="233" t="s">
        <v>42</v>
      </c>
      <c r="F134" s="233">
        <v>1</v>
      </c>
      <c r="G134" s="233" t="s">
        <v>42</v>
      </c>
      <c r="H134" s="233" t="s">
        <v>42</v>
      </c>
      <c r="I134" s="233" t="s">
        <v>42</v>
      </c>
      <c r="J134" s="233" t="s">
        <v>42</v>
      </c>
      <c r="K134" s="186"/>
      <c r="L134" s="186"/>
      <c r="M134" s="185"/>
      <c r="N134" s="185"/>
      <c r="O134" s="185"/>
      <c r="P134" s="185"/>
      <c r="Q134" s="185" t="s">
        <v>54</v>
      </c>
      <c r="R134" s="187" t="s">
        <v>137</v>
      </c>
    </row>
    <row r="135" spans="1:18" ht="18.95" customHeight="1" x14ac:dyDescent="0.2">
      <c r="A135" s="183"/>
      <c r="B135" s="191"/>
      <c r="C135" s="191"/>
      <c r="D135" s="233"/>
      <c r="E135" s="233"/>
      <c r="F135" s="233"/>
      <c r="G135" s="233"/>
      <c r="H135" s="233"/>
      <c r="I135" s="233"/>
      <c r="J135" s="233"/>
      <c r="K135" s="186"/>
      <c r="L135" s="186"/>
      <c r="M135" s="185"/>
      <c r="N135" s="185"/>
      <c r="O135" s="185"/>
      <c r="P135" s="185"/>
      <c r="Q135" s="185"/>
      <c r="R135" s="187"/>
    </row>
    <row r="136" spans="1:18" ht="18.95" customHeight="1" x14ac:dyDescent="0.2">
      <c r="A136" s="225"/>
      <c r="B136" s="226" t="s">
        <v>167</v>
      </c>
      <c r="C136" s="227"/>
      <c r="D136" s="228"/>
      <c r="E136" s="228"/>
      <c r="F136" s="228"/>
      <c r="G136" s="228"/>
      <c r="H136" s="228"/>
      <c r="I136" s="228"/>
      <c r="J136" s="228"/>
      <c r="K136" s="229"/>
      <c r="L136" s="229"/>
      <c r="M136" s="228"/>
      <c r="N136" s="228"/>
      <c r="O136" s="228"/>
      <c r="P136" s="228"/>
      <c r="Q136" s="228"/>
      <c r="R136" s="230"/>
    </row>
    <row r="137" spans="1:18" ht="18.95" customHeight="1" x14ac:dyDescent="0.2">
      <c r="A137" s="183"/>
      <c r="B137" s="184" t="s">
        <v>67</v>
      </c>
      <c r="C137" s="189"/>
      <c r="D137" s="233">
        <v>1</v>
      </c>
      <c r="E137" s="233" t="s">
        <v>42</v>
      </c>
      <c r="F137" s="233" t="s">
        <v>42</v>
      </c>
      <c r="G137" s="233">
        <v>1</v>
      </c>
      <c r="H137" s="233" t="s">
        <v>42</v>
      </c>
      <c r="I137" s="233" t="s">
        <v>42</v>
      </c>
      <c r="J137" s="233" t="s">
        <v>42</v>
      </c>
      <c r="K137" s="186"/>
      <c r="L137" s="186"/>
      <c r="M137" s="185"/>
      <c r="N137" s="185"/>
      <c r="O137" s="185"/>
      <c r="P137" s="185"/>
      <c r="Q137" s="185" t="s">
        <v>54</v>
      </c>
      <c r="R137" s="187" t="s">
        <v>50</v>
      </c>
    </row>
    <row r="138" spans="1:18" ht="18.95" customHeight="1" x14ac:dyDescent="0.2">
      <c r="A138" s="183"/>
      <c r="B138" s="184" t="s">
        <v>67</v>
      </c>
      <c r="C138" s="189"/>
      <c r="D138" s="233">
        <v>1</v>
      </c>
      <c r="E138" s="233" t="s">
        <v>42</v>
      </c>
      <c r="F138" s="233" t="s">
        <v>42</v>
      </c>
      <c r="G138" s="233">
        <v>1</v>
      </c>
      <c r="H138" s="233" t="s">
        <v>42</v>
      </c>
      <c r="I138" s="233" t="s">
        <v>42</v>
      </c>
      <c r="J138" s="233" t="s">
        <v>42</v>
      </c>
      <c r="K138" s="186"/>
      <c r="L138" s="186"/>
      <c r="M138" s="185"/>
      <c r="N138" s="185"/>
      <c r="O138" s="185"/>
      <c r="P138" s="185"/>
      <c r="Q138" s="185" t="s">
        <v>54</v>
      </c>
      <c r="R138" s="187" t="s">
        <v>50</v>
      </c>
    </row>
    <row r="139" spans="1:18" ht="18.95" customHeight="1" x14ac:dyDescent="0.2">
      <c r="A139" s="183"/>
      <c r="B139" s="184" t="s">
        <v>64</v>
      </c>
      <c r="C139" s="189"/>
      <c r="D139" s="233" t="s">
        <v>42</v>
      </c>
      <c r="E139" s="233" t="s">
        <v>42</v>
      </c>
      <c r="F139" s="233">
        <v>1</v>
      </c>
      <c r="G139" s="233" t="s">
        <v>42</v>
      </c>
      <c r="H139" s="233" t="s">
        <v>42</v>
      </c>
      <c r="I139" s="233" t="s">
        <v>42</v>
      </c>
      <c r="J139" s="233" t="s">
        <v>42</v>
      </c>
      <c r="K139" s="186"/>
      <c r="L139" s="186"/>
      <c r="M139" s="185"/>
      <c r="N139" s="185"/>
      <c r="O139" s="185"/>
      <c r="P139" s="185"/>
      <c r="Q139" s="185" t="s">
        <v>54</v>
      </c>
      <c r="R139" s="187" t="s">
        <v>68</v>
      </c>
    </row>
    <row r="140" spans="1:18" ht="18.95" customHeight="1" x14ac:dyDescent="0.2">
      <c r="A140" s="183"/>
      <c r="B140" s="191" t="s">
        <v>57</v>
      </c>
      <c r="C140" s="191"/>
      <c r="D140" s="233" t="s">
        <v>42</v>
      </c>
      <c r="E140" s="233" t="s">
        <v>42</v>
      </c>
      <c r="F140" s="233" t="s">
        <v>42</v>
      </c>
      <c r="G140" s="233">
        <v>1</v>
      </c>
      <c r="H140" s="233" t="s">
        <v>42</v>
      </c>
      <c r="I140" s="233" t="s">
        <v>42</v>
      </c>
      <c r="J140" s="233" t="s">
        <v>42</v>
      </c>
      <c r="K140" s="186">
        <v>2.2000000000000002</v>
      </c>
      <c r="L140" s="186"/>
      <c r="M140" s="185">
        <v>230</v>
      </c>
      <c r="N140" s="185"/>
      <c r="O140" s="185"/>
      <c r="P140" s="185"/>
      <c r="Q140" s="185" t="s">
        <v>58</v>
      </c>
      <c r="R140" s="187" t="s">
        <v>59</v>
      </c>
    </row>
    <row r="141" spans="1:18" ht="18.95" customHeight="1" x14ac:dyDescent="0.2">
      <c r="A141" s="183"/>
      <c r="B141" s="191" t="s">
        <v>60</v>
      </c>
      <c r="C141" s="191"/>
      <c r="D141" s="233" t="s">
        <v>42</v>
      </c>
      <c r="E141" s="233">
        <v>1</v>
      </c>
      <c r="F141" s="233" t="s">
        <v>42</v>
      </c>
      <c r="G141" s="233" t="s">
        <v>42</v>
      </c>
      <c r="H141" s="233" t="s">
        <v>42</v>
      </c>
      <c r="I141" s="233" t="s">
        <v>42</v>
      </c>
      <c r="J141" s="233" t="s">
        <v>42</v>
      </c>
      <c r="K141" s="186"/>
      <c r="L141" s="186"/>
      <c r="M141" s="185"/>
      <c r="N141" s="185"/>
      <c r="O141" s="185"/>
      <c r="P141" s="185"/>
      <c r="Q141" s="185"/>
      <c r="R141" s="187"/>
    </row>
    <row r="142" spans="1:18" ht="18.95" customHeight="1" x14ac:dyDescent="0.2">
      <c r="A142" s="183"/>
      <c r="B142" s="191" t="s">
        <v>61</v>
      </c>
      <c r="C142" s="191"/>
      <c r="D142" s="233" t="s">
        <v>42</v>
      </c>
      <c r="E142" s="233" t="s">
        <v>42</v>
      </c>
      <c r="F142" s="233">
        <v>1</v>
      </c>
      <c r="G142" s="233" t="s">
        <v>42</v>
      </c>
      <c r="H142" s="233" t="s">
        <v>42</v>
      </c>
      <c r="I142" s="233" t="s">
        <v>42</v>
      </c>
      <c r="J142" s="233" t="s">
        <v>42</v>
      </c>
      <c r="K142" s="186"/>
      <c r="L142" s="186"/>
      <c r="M142" s="185"/>
      <c r="N142" s="185"/>
      <c r="O142" s="185"/>
      <c r="P142" s="185"/>
      <c r="Q142" s="185" t="s">
        <v>54</v>
      </c>
      <c r="R142" s="187" t="s">
        <v>62</v>
      </c>
    </row>
    <row r="143" spans="1:18" ht="18.95" customHeight="1" x14ac:dyDescent="0.2">
      <c r="A143" s="183"/>
      <c r="B143" s="191" t="s">
        <v>63</v>
      </c>
      <c r="C143" s="191"/>
      <c r="D143" s="233" t="s">
        <v>42</v>
      </c>
      <c r="E143" s="233" t="s">
        <v>42</v>
      </c>
      <c r="F143" s="233">
        <v>1</v>
      </c>
      <c r="G143" s="233" t="s">
        <v>42</v>
      </c>
      <c r="H143" s="233" t="s">
        <v>42</v>
      </c>
      <c r="I143" s="233" t="s">
        <v>42</v>
      </c>
      <c r="J143" s="233" t="s">
        <v>42</v>
      </c>
      <c r="K143" s="186"/>
      <c r="L143" s="186"/>
      <c r="M143" s="185"/>
      <c r="N143" s="185"/>
      <c r="O143" s="185"/>
      <c r="P143" s="185"/>
      <c r="Q143" s="185" t="s">
        <v>54</v>
      </c>
      <c r="R143" s="187" t="s">
        <v>62</v>
      </c>
    </row>
    <row r="144" spans="1:18" ht="18.95" customHeight="1" x14ac:dyDescent="0.2">
      <c r="A144" s="183"/>
      <c r="B144" s="191"/>
      <c r="C144" s="191"/>
      <c r="D144" s="233"/>
      <c r="E144" s="233"/>
      <c r="F144" s="233"/>
      <c r="G144" s="233"/>
      <c r="H144" s="233"/>
      <c r="I144" s="233"/>
      <c r="J144" s="233"/>
      <c r="K144" s="186"/>
      <c r="L144" s="186"/>
      <c r="M144" s="185"/>
      <c r="N144" s="185"/>
      <c r="O144" s="185"/>
      <c r="P144" s="185"/>
      <c r="Q144" s="185"/>
      <c r="R144" s="187"/>
    </row>
    <row r="145" spans="1:18" ht="18.95" customHeight="1" x14ac:dyDescent="0.2">
      <c r="A145" s="225"/>
      <c r="B145" s="226" t="s">
        <v>69</v>
      </c>
      <c r="C145" s="227"/>
      <c r="D145" s="228"/>
      <c r="E145" s="228"/>
      <c r="F145" s="228"/>
      <c r="G145" s="228"/>
      <c r="H145" s="228"/>
      <c r="I145" s="228"/>
      <c r="J145" s="228"/>
      <c r="K145" s="229"/>
      <c r="L145" s="229"/>
      <c r="M145" s="228"/>
      <c r="N145" s="228"/>
      <c r="O145" s="228"/>
      <c r="P145" s="228"/>
      <c r="Q145" s="228"/>
      <c r="R145" s="230"/>
    </row>
    <row r="146" spans="1:18" ht="18.95" customHeight="1" x14ac:dyDescent="0.2">
      <c r="A146" s="183"/>
      <c r="B146" s="184" t="s">
        <v>64</v>
      </c>
      <c r="C146" s="189"/>
      <c r="D146" s="233" t="s">
        <v>42</v>
      </c>
      <c r="E146" s="233" t="s">
        <v>42</v>
      </c>
      <c r="F146" s="233">
        <v>1</v>
      </c>
      <c r="G146" s="233" t="s">
        <v>42</v>
      </c>
      <c r="H146" s="233" t="s">
        <v>42</v>
      </c>
      <c r="I146" s="233" t="s">
        <v>42</v>
      </c>
      <c r="J146" s="233" t="s">
        <v>42</v>
      </c>
      <c r="K146" s="186"/>
      <c r="L146" s="186"/>
      <c r="M146" s="185"/>
      <c r="N146" s="185"/>
      <c r="O146" s="185"/>
      <c r="P146" s="185"/>
      <c r="Q146" s="185" t="s">
        <v>54</v>
      </c>
      <c r="R146" s="187" t="s">
        <v>65</v>
      </c>
    </row>
    <row r="147" spans="1:18" ht="18.95" customHeight="1" x14ac:dyDescent="0.2">
      <c r="A147" s="183"/>
      <c r="B147" s="191" t="s">
        <v>57</v>
      </c>
      <c r="C147" s="191"/>
      <c r="D147" s="233" t="s">
        <v>42</v>
      </c>
      <c r="E147" s="233" t="s">
        <v>42</v>
      </c>
      <c r="F147" s="233" t="s">
        <v>42</v>
      </c>
      <c r="G147" s="233">
        <v>1</v>
      </c>
      <c r="H147" s="233" t="s">
        <v>42</v>
      </c>
      <c r="I147" s="233" t="s">
        <v>42</v>
      </c>
      <c r="J147" s="233" t="s">
        <v>42</v>
      </c>
      <c r="K147" s="186">
        <v>0.5</v>
      </c>
      <c r="L147" s="186"/>
      <c r="M147" s="185">
        <v>230</v>
      </c>
      <c r="N147" s="185"/>
      <c r="O147" s="185"/>
      <c r="P147" s="185"/>
      <c r="Q147" s="185" t="s">
        <v>58</v>
      </c>
      <c r="R147" s="187" t="s">
        <v>59</v>
      </c>
    </row>
    <row r="148" spans="1:18" ht="18.95" customHeight="1" x14ac:dyDescent="0.2">
      <c r="A148" s="183"/>
      <c r="B148" s="191" t="s">
        <v>60</v>
      </c>
      <c r="C148" s="191"/>
      <c r="D148" s="233" t="s">
        <v>42</v>
      </c>
      <c r="E148" s="233">
        <v>1</v>
      </c>
      <c r="F148" s="233" t="s">
        <v>42</v>
      </c>
      <c r="G148" s="233" t="s">
        <v>42</v>
      </c>
      <c r="H148" s="233" t="s">
        <v>42</v>
      </c>
      <c r="I148" s="233" t="s">
        <v>42</v>
      </c>
      <c r="J148" s="233" t="s">
        <v>42</v>
      </c>
      <c r="K148" s="186"/>
      <c r="L148" s="186"/>
      <c r="M148" s="185"/>
      <c r="N148" s="185"/>
      <c r="O148" s="185"/>
      <c r="P148" s="185"/>
      <c r="Q148" s="185"/>
      <c r="R148" s="187"/>
    </row>
    <row r="149" spans="1:18" ht="18.95" customHeight="1" x14ac:dyDescent="0.2">
      <c r="A149" s="183"/>
      <c r="B149" s="191" t="s">
        <v>61</v>
      </c>
      <c r="C149" s="191"/>
      <c r="D149" s="233" t="s">
        <v>42</v>
      </c>
      <c r="E149" s="233" t="s">
        <v>42</v>
      </c>
      <c r="F149" s="233">
        <v>1</v>
      </c>
      <c r="G149" s="233" t="s">
        <v>42</v>
      </c>
      <c r="H149" s="233" t="s">
        <v>42</v>
      </c>
      <c r="I149" s="233" t="s">
        <v>42</v>
      </c>
      <c r="J149" s="233" t="s">
        <v>42</v>
      </c>
      <c r="K149" s="186"/>
      <c r="L149" s="186"/>
      <c r="M149" s="185"/>
      <c r="N149" s="185"/>
      <c r="O149" s="185"/>
      <c r="P149" s="185"/>
      <c r="Q149" s="185" t="s">
        <v>54</v>
      </c>
      <c r="R149" s="187" t="s">
        <v>62</v>
      </c>
    </row>
    <row r="150" spans="1:18" ht="18.95" customHeight="1" x14ac:dyDescent="0.2">
      <c r="A150" s="183"/>
      <c r="B150" s="191" t="s">
        <v>63</v>
      </c>
      <c r="C150" s="191"/>
      <c r="D150" s="233" t="s">
        <v>42</v>
      </c>
      <c r="E150" s="233" t="s">
        <v>42</v>
      </c>
      <c r="F150" s="233">
        <v>1</v>
      </c>
      <c r="G150" s="233" t="s">
        <v>42</v>
      </c>
      <c r="H150" s="233" t="s">
        <v>42</v>
      </c>
      <c r="I150" s="233" t="s">
        <v>42</v>
      </c>
      <c r="J150" s="233" t="s">
        <v>42</v>
      </c>
      <c r="K150" s="186"/>
      <c r="L150" s="186"/>
      <c r="M150" s="185"/>
      <c r="N150" s="185"/>
      <c r="O150" s="185"/>
      <c r="P150" s="185"/>
      <c r="Q150" s="185" t="s">
        <v>54</v>
      </c>
      <c r="R150" s="187" t="s">
        <v>62</v>
      </c>
    </row>
    <row r="151" spans="1:18" ht="18.95" customHeight="1" x14ac:dyDescent="0.2">
      <c r="A151" s="183"/>
      <c r="B151" s="191"/>
      <c r="C151" s="191"/>
      <c r="D151" s="233"/>
      <c r="E151" s="233"/>
      <c r="F151" s="233"/>
      <c r="G151" s="233"/>
      <c r="H151" s="233"/>
      <c r="I151" s="233"/>
      <c r="J151" s="233"/>
      <c r="K151" s="186"/>
      <c r="L151" s="186"/>
      <c r="M151" s="185"/>
      <c r="N151" s="185"/>
      <c r="O151" s="185"/>
      <c r="P151" s="185"/>
      <c r="Q151" s="185"/>
      <c r="R151" s="187"/>
    </row>
    <row r="152" spans="1:18" ht="18.95" customHeight="1" x14ac:dyDescent="0.2">
      <c r="A152" s="225"/>
      <c r="B152" s="226" t="s">
        <v>70</v>
      </c>
      <c r="C152" s="227"/>
      <c r="D152" s="228"/>
      <c r="E152" s="228"/>
      <c r="F152" s="228"/>
      <c r="G152" s="228"/>
      <c r="H152" s="228"/>
      <c r="I152" s="228"/>
      <c r="J152" s="228"/>
      <c r="K152" s="229"/>
      <c r="L152" s="229"/>
      <c r="M152" s="228"/>
      <c r="N152" s="228"/>
      <c r="O152" s="228"/>
      <c r="P152" s="228"/>
      <c r="Q152" s="228"/>
      <c r="R152" s="230"/>
    </row>
    <row r="153" spans="1:18" ht="18.95" customHeight="1" x14ac:dyDescent="0.2">
      <c r="A153" s="183"/>
      <c r="B153" s="184" t="s">
        <v>64</v>
      </c>
      <c r="C153" s="189"/>
      <c r="D153" s="233" t="s">
        <v>42</v>
      </c>
      <c r="E153" s="233" t="s">
        <v>42</v>
      </c>
      <c r="F153" s="233">
        <v>1</v>
      </c>
      <c r="G153" s="233" t="s">
        <v>42</v>
      </c>
      <c r="H153" s="233" t="s">
        <v>42</v>
      </c>
      <c r="I153" s="233" t="s">
        <v>42</v>
      </c>
      <c r="J153" s="233" t="s">
        <v>42</v>
      </c>
      <c r="K153" s="186"/>
      <c r="L153" s="186"/>
      <c r="M153" s="185"/>
      <c r="N153" s="185"/>
      <c r="O153" s="185"/>
      <c r="P153" s="185"/>
      <c r="Q153" s="185" t="s">
        <v>54</v>
      </c>
      <c r="R153" s="187" t="s">
        <v>66</v>
      </c>
    </row>
    <row r="154" spans="1:18" ht="18.95" customHeight="1" x14ac:dyDescent="0.2">
      <c r="A154" s="183"/>
      <c r="B154" s="191" t="s">
        <v>57</v>
      </c>
      <c r="C154" s="191"/>
      <c r="D154" s="233" t="s">
        <v>42</v>
      </c>
      <c r="E154" s="233" t="s">
        <v>42</v>
      </c>
      <c r="F154" s="233" t="s">
        <v>42</v>
      </c>
      <c r="G154" s="233">
        <v>1</v>
      </c>
      <c r="H154" s="233" t="s">
        <v>42</v>
      </c>
      <c r="I154" s="233" t="s">
        <v>42</v>
      </c>
      <c r="J154" s="233" t="s">
        <v>42</v>
      </c>
      <c r="K154" s="186">
        <v>0.5</v>
      </c>
      <c r="L154" s="186"/>
      <c r="M154" s="185">
        <v>230</v>
      </c>
      <c r="N154" s="185"/>
      <c r="O154" s="185"/>
      <c r="P154" s="185"/>
      <c r="Q154" s="185" t="s">
        <v>58</v>
      </c>
      <c r="R154" s="187" t="s">
        <v>59</v>
      </c>
    </row>
    <row r="155" spans="1:18" ht="18.95" customHeight="1" x14ac:dyDescent="0.2">
      <c r="A155" s="183"/>
      <c r="B155" s="191" t="s">
        <v>60</v>
      </c>
      <c r="C155" s="191"/>
      <c r="D155" s="233" t="s">
        <v>42</v>
      </c>
      <c r="E155" s="233">
        <v>1</v>
      </c>
      <c r="F155" s="233" t="s">
        <v>42</v>
      </c>
      <c r="G155" s="233" t="s">
        <v>42</v>
      </c>
      <c r="H155" s="233" t="s">
        <v>42</v>
      </c>
      <c r="I155" s="233" t="s">
        <v>42</v>
      </c>
      <c r="J155" s="233" t="s">
        <v>42</v>
      </c>
      <c r="K155" s="186"/>
      <c r="L155" s="186"/>
      <c r="M155" s="185"/>
      <c r="N155" s="185"/>
      <c r="O155" s="185"/>
      <c r="P155" s="185"/>
      <c r="Q155" s="185"/>
      <c r="R155" s="187"/>
    </row>
    <row r="156" spans="1:18" ht="18.95" customHeight="1" x14ac:dyDescent="0.2">
      <c r="A156" s="183"/>
      <c r="B156" s="191" t="s">
        <v>61</v>
      </c>
      <c r="C156" s="191"/>
      <c r="D156" s="233" t="s">
        <v>42</v>
      </c>
      <c r="E156" s="233" t="s">
        <v>42</v>
      </c>
      <c r="F156" s="233">
        <v>1</v>
      </c>
      <c r="G156" s="233" t="s">
        <v>42</v>
      </c>
      <c r="H156" s="233" t="s">
        <v>42</v>
      </c>
      <c r="I156" s="233" t="s">
        <v>42</v>
      </c>
      <c r="J156" s="233" t="s">
        <v>42</v>
      </c>
      <c r="K156" s="186"/>
      <c r="L156" s="186"/>
      <c r="M156" s="185"/>
      <c r="N156" s="185"/>
      <c r="O156" s="185"/>
      <c r="P156" s="185"/>
      <c r="Q156" s="185" t="s">
        <v>54</v>
      </c>
      <c r="R156" s="187" t="s">
        <v>62</v>
      </c>
    </row>
    <row r="157" spans="1:18" ht="18.95" customHeight="1" x14ac:dyDescent="0.2">
      <c r="A157" s="183"/>
      <c r="B157" s="191" t="s">
        <v>63</v>
      </c>
      <c r="C157" s="191"/>
      <c r="D157" s="233" t="s">
        <v>42</v>
      </c>
      <c r="E157" s="233" t="s">
        <v>42</v>
      </c>
      <c r="F157" s="233">
        <v>1</v>
      </c>
      <c r="G157" s="233" t="s">
        <v>42</v>
      </c>
      <c r="H157" s="233" t="s">
        <v>42</v>
      </c>
      <c r="I157" s="233" t="s">
        <v>42</v>
      </c>
      <c r="J157" s="233" t="s">
        <v>42</v>
      </c>
      <c r="K157" s="186"/>
      <c r="L157" s="186"/>
      <c r="M157" s="185"/>
      <c r="N157" s="185"/>
      <c r="O157" s="185"/>
      <c r="P157" s="185"/>
      <c r="Q157" s="185" t="s">
        <v>54</v>
      </c>
      <c r="R157" s="187" t="s">
        <v>62</v>
      </c>
    </row>
    <row r="158" spans="1:18" ht="18.95" customHeight="1" x14ac:dyDescent="0.2">
      <c r="A158" s="183"/>
      <c r="B158" s="191"/>
      <c r="C158" s="191"/>
      <c r="D158" s="233"/>
      <c r="E158" s="233"/>
      <c r="F158" s="233"/>
      <c r="G158" s="233"/>
      <c r="H158" s="233"/>
      <c r="I158" s="233"/>
      <c r="J158" s="233"/>
      <c r="K158" s="186"/>
      <c r="L158" s="186"/>
      <c r="M158" s="185"/>
      <c r="N158" s="185"/>
      <c r="O158" s="185"/>
      <c r="P158" s="185"/>
      <c r="Q158" s="185"/>
      <c r="R158" s="187"/>
    </row>
    <row r="159" spans="1:18" ht="18.95" customHeight="1" x14ac:dyDescent="0.2">
      <c r="A159" s="225"/>
      <c r="B159" s="226" t="s">
        <v>167</v>
      </c>
      <c r="C159" s="227"/>
      <c r="D159" s="228"/>
      <c r="E159" s="228"/>
      <c r="F159" s="228"/>
      <c r="G159" s="228"/>
      <c r="H159" s="228"/>
      <c r="I159" s="228"/>
      <c r="J159" s="228"/>
      <c r="K159" s="229"/>
      <c r="L159" s="229"/>
      <c r="M159" s="228"/>
      <c r="N159" s="228"/>
      <c r="O159" s="228"/>
      <c r="P159" s="228"/>
      <c r="Q159" s="228"/>
      <c r="R159" s="230"/>
    </row>
    <row r="160" spans="1:18" ht="18.95" customHeight="1" x14ac:dyDescent="0.2">
      <c r="A160" s="183"/>
      <c r="B160" s="356" t="s">
        <v>168</v>
      </c>
      <c r="C160" s="357"/>
      <c r="D160" s="233">
        <v>1</v>
      </c>
      <c r="E160" s="233" t="s">
        <v>42</v>
      </c>
      <c r="F160" s="233" t="s">
        <v>42</v>
      </c>
      <c r="G160" s="233">
        <v>2</v>
      </c>
      <c r="H160" s="233" t="s">
        <v>42</v>
      </c>
      <c r="I160" s="233" t="s">
        <v>42</v>
      </c>
      <c r="J160" s="233" t="s">
        <v>42</v>
      </c>
      <c r="K160" s="358"/>
      <c r="L160" s="358"/>
      <c r="M160" s="181"/>
      <c r="N160" s="181"/>
      <c r="O160" s="181"/>
      <c r="P160" s="181"/>
      <c r="Q160" s="181"/>
      <c r="R160" s="359" t="s">
        <v>179</v>
      </c>
    </row>
    <row r="161" spans="1:18" ht="18.95" customHeight="1" x14ac:dyDescent="0.2">
      <c r="A161" s="183"/>
      <c r="B161" s="360" t="s">
        <v>169</v>
      </c>
      <c r="C161" s="360"/>
      <c r="D161" s="233" t="s">
        <v>42</v>
      </c>
      <c r="E161" s="233" t="s">
        <v>42</v>
      </c>
      <c r="F161" s="233">
        <v>1</v>
      </c>
      <c r="G161" s="233" t="s">
        <v>42</v>
      </c>
      <c r="H161" s="233" t="s">
        <v>42</v>
      </c>
      <c r="I161" s="233" t="s">
        <v>42</v>
      </c>
      <c r="J161" s="233" t="s">
        <v>42</v>
      </c>
      <c r="K161" s="358"/>
      <c r="L161" s="358"/>
      <c r="M161" s="181"/>
      <c r="N161" s="181"/>
      <c r="O161" s="181"/>
      <c r="P161" s="181"/>
      <c r="Q161" s="181" t="s">
        <v>54</v>
      </c>
      <c r="R161" s="359" t="s">
        <v>180</v>
      </c>
    </row>
    <row r="162" spans="1:18" ht="18.95" customHeight="1" x14ac:dyDescent="0.2">
      <c r="A162" s="183"/>
      <c r="B162" s="360" t="s">
        <v>170</v>
      </c>
      <c r="C162" s="360"/>
      <c r="D162" s="233" t="s">
        <v>42</v>
      </c>
      <c r="E162" s="233" t="s">
        <v>42</v>
      </c>
      <c r="F162" s="233">
        <v>1</v>
      </c>
      <c r="G162" s="233" t="s">
        <v>42</v>
      </c>
      <c r="H162" s="233" t="s">
        <v>42</v>
      </c>
      <c r="I162" s="233" t="s">
        <v>42</v>
      </c>
      <c r="J162" s="233" t="s">
        <v>42</v>
      </c>
      <c r="K162" s="358"/>
      <c r="L162" s="358"/>
      <c r="M162" s="181"/>
      <c r="N162" s="181"/>
      <c r="O162" s="181"/>
      <c r="P162" s="181"/>
      <c r="Q162" s="181" t="s">
        <v>54</v>
      </c>
      <c r="R162" s="359" t="s">
        <v>181</v>
      </c>
    </row>
    <row r="163" spans="1:18" ht="18.95" customHeight="1" x14ac:dyDescent="0.2">
      <c r="A163" s="183"/>
      <c r="B163" s="360" t="s">
        <v>182</v>
      </c>
      <c r="C163" s="360"/>
      <c r="D163" s="233" t="s">
        <v>42</v>
      </c>
      <c r="E163" s="233" t="s">
        <v>42</v>
      </c>
      <c r="F163" s="233" t="s">
        <v>42</v>
      </c>
      <c r="G163" s="233" t="s">
        <v>42</v>
      </c>
      <c r="H163" s="233">
        <v>1</v>
      </c>
      <c r="I163" s="233" t="s">
        <v>42</v>
      </c>
      <c r="J163" s="233" t="s">
        <v>42</v>
      </c>
      <c r="K163" s="358"/>
      <c r="L163" s="358"/>
      <c r="M163" s="181"/>
      <c r="N163" s="181"/>
      <c r="O163" s="181"/>
      <c r="P163" s="181"/>
      <c r="Q163" s="181" t="s">
        <v>54</v>
      </c>
      <c r="R163" s="359" t="s">
        <v>183</v>
      </c>
    </row>
    <row r="164" spans="1:18" ht="18.95" customHeight="1" x14ac:dyDescent="0.2">
      <c r="A164" s="183"/>
      <c r="B164" s="360" t="s">
        <v>171</v>
      </c>
      <c r="C164" s="360"/>
      <c r="D164" s="233" t="s">
        <v>42</v>
      </c>
      <c r="E164" s="233" t="s">
        <v>42</v>
      </c>
      <c r="F164" s="233" t="s">
        <v>42</v>
      </c>
      <c r="G164" s="233">
        <v>1</v>
      </c>
      <c r="H164" s="233" t="s">
        <v>42</v>
      </c>
      <c r="I164" s="233" t="s">
        <v>42</v>
      </c>
      <c r="J164" s="233" t="s">
        <v>42</v>
      </c>
      <c r="K164" s="358">
        <v>0.5</v>
      </c>
      <c r="L164" s="358"/>
      <c r="M164" s="181">
        <v>230</v>
      </c>
      <c r="N164" s="181"/>
      <c r="O164" s="181"/>
      <c r="P164" s="181"/>
      <c r="Q164" s="181" t="s">
        <v>58</v>
      </c>
      <c r="R164" s="187" t="s">
        <v>59</v>
      </c>
    </row>
    <row r="165" spans="1:18" ht="18.95" customHeight="1" x14ac:dyDescent="0.2">
      <c r="A165" s="183"/>
      <c r="B165" s="360" t="s">
        <v>60</v>
      </c>
      <c r="C165" s="360"/>
      <c r="D165" s="233" t="s">
        <v>42</v>
      </c>
      <c r="E165" s="233">
        <v>1</v>
      </c>
      <c r="F165" s="233" t="s">
        <v>42</v>
      </c>
      <c r="G165" s="233" t="s">
        <v>42</v>
      </c>
      <c r="H165" s="233" t="s">
        <v>42</v>
      </c>
      <c r="I165" s="233" t="s">
        <v>42</v>
      </c>
      <c r="J165" s="233" t="s">
        <v>42</v>
      </c>
      <c r="K165" s="358"/>
      <c r="L165" s="358"/>
      <c r="M165" s="181"/>
      <c r="N165" s="181"/>
      <c r="O165" s="181"/>
      <c r="P165" s="181"/>
      <c r="Q165" s="181"/>
      <c r="R165" s="359"/>
    </row>
    <row r="166" spans="1:18" ht="18.95" customHeight="1" x14ac:dyDescent="0.2">
      <c r="A166" s="183"/>
      <c r="B166" s="360" t="s">
        <v>184</v>
      </c>
      <c r="C166" s="360"/>
      <c r="D166" s="233" t="s">
        <v>42</v>
      </c>
      <c r="E166" s="233" t="s">
        <v>42</v>
      </c>
      <c r="F166" s="233" t="s">
        <v>42</v>
      </c>
      <c r="G166" s="233" t="s">
        <v>42</v>
      </c>
      <c r="H166" s="233">
        <v>1</v>
      </c>
      <c r="I166" s="233" t="s">
        <v>42</v>
      </c>
      <c r="J166" s="233" t="s">
        <v>42</v>
      </c>
      <c r="K166" s="358"/>
      <c r="L166" s="358"/>
      <c r="M166" s="181"/>
      <c r="N166" s="181"/>
      <c r="O166" s="181"/>
      <c r="P166" s="181"/>
      <c r="Q166" s="181" t="s">
        <v>54</v>
      </c>
      <c r="R166" s="359" t="s">
        <v>185</v>
      </c>
    </row>
    <row r="167" spans="1:18" ht="18.95" customHeight="1" x14ac:dyDescent="0.2">
      <c r="A167" s="183"/>
      <c r="B167" s="360" t="s">
        <v>172</v>
      </c>
      <c r="C167" s="360"/>
      <c r="D167" s="233" t="s">
        <v>42</v>
      </c>
      <c r="E167" s="233">
        <v>1</v>
      </c>
      <c r="F167" s="233" t="s">
        <v>42</v>
      </c>
      <c r="G167" s="233" t="s">
        <v>42</v>
      </c>
      <c r="H167" s="233" t="s">
        <v>42</v>
      </c>
      <c r="I167" s="233" t="s">
        <v>42</v>
      </c>
      <c r="J167" s="233" t="s">
        <v>42</v>
      </c>
      <c r="K167" s="358"/>
      <c r="L167" s="358"/>
      <c r="M167" s="181"/>
      <c r="N167" s="181"/>
      <c r="O167" s="181"/>
      <c r="P167" s="181"/>
      <c r="Q167" s="181" t="s">
        <v>54</v>
      </c>
      <c r="R167" s="359" t="s">
        <v>186</v>
      </c>
    </row>
    <row r="168" spans="1:18" ht="18.95" customHeight="1" x14ac:dyDescent="0.2">
      <c r="A168" s="183"/>
      <c r="B168" s="191" t="s">
        <v>187</v>
      </c>
      <c r="C168" s="191"/>
      <c r="D168" s="233" t="s">
        <v>42</v>
      </c>
      <c r="E168" s="233" t="s">
        <v>42</v>
      </c>
      <c r="F168" s="233">
        <v>1</v>
      </c>
      <c r="G168" s="233" t="s">
        <v>42</v>
      </c>
      <c r="H168" s="233" t="s">
        <v>42</v>
      </c>
      <c r="I168" s="233" t="s">
        <v>42</v>
      </c>
      <c r="J168" s="233" t="s">
        <v>42</v>
      </c>
      <c r="K168" s="186"/>
      <c r="L168" s="186"/>
      <c r="M168" s="185"/>
      <c r="N168" s="185"/>
      <c r="O168" s="185"/>
      <c r="P168" s="185"/>
      <c r="Q168" s="185" t="s">
        <v>54</v>
      </c>
      <c r="R168" s="187" t="s">
        <v>62</v>
      </c>
    </row>
    <row r="169" spans="1:18" ht="18.95" customHeight="1" x14ac:dyDescent="0.2">
      <c r="A169" s="183"/>
      <c r="B169" s="191" t="s">
        <v>188</v>
      </c>
      <c r="C169" s="191"/>
      <c r="D169" s="233" t="s">
        <v>42</v>
      </c>
      <c r="E169" s="233" t="s">
        <v>42</v>
      </c>
      <c r="F169" s="233">
        <v>1</v>
      </c>
      <c r="G169" s="233" t="s">
        <v>42</v>
      </c>
      <c r="H169" s="233" t="s">
        <v>42</v>
      </c>
      <c r="I169" s="233" t="s">
        <v>42</v>
      </c>
      <c r="J169" s="233" t="s">
        <v>42</v>
      </c>
      <c r="K169" s="186"/>
      <c r="L169" s="186"/>
      <c r="M169" s="185"/>
      <c r="N169" s="185"/>
      <c r="O169" s="185"/>
      <c r="P169" s="185"/>
      <c r="Q169" s="185" t="s">
        <v>54</v>
      </c>
      <c r="R169" s="187" t="s">
        <v>62</v>
      </c>
    </row>
    <row r="170" spans="1:18" ht="18.95" customHeight="1" x14ac:dyDescent="0.2">
      <c r="A170" s="183"/>
      <c r="B170" s="360" t="s">
        <v>173</v>
      </c>
      <c r="C170" s="360"/>
      <c r="D170" s="233" t="s">
        <v>42</v>
      </c>
      <c r="E170" s="233" t="s">
        <v>42</v>
      </c>
      <c r="F170" s="233" t="s">
        <v>42</v>
      </c>
      <c r="G170" s="233">
        <v>1</v>
      </c>
      <c r="H170" s="233" t="s">
        <v>42</v>
      </c>
      <c r="I170" s="233" t="s">
        <v>42</v>
      </c>
      <c r="J170" s="233" t="s">
        <v>42</v>
      </c>
      <c r="K170" s="358">
        <v>5.5</v>
      </c>
      <c r="L170" s="358"/>
      <c r="M170" s="181">
        <v>400</v>
      </c>
      <c r="N170" s="181"/>
      <c r="O170" s="181"/>
      <c r="P170" s="181"/>
      <c r="Q170" s="181"/>
      <c r="R170" s="359"/>
    </row>
    <row r="171" spans="1:18" ht="18.95" customHeight="1" x14ac:dyDescent="0.2">
      <c r="A171" s="183"/>
      <c r="B171" s="360" t="s">
        <v>174</v>
      </c>
      <c r="C171" s="360"/>
      <c r="D171" s="233" t="s">
        <v>42</v>
      </c>
      <c r="E171" s="233">
        <v>1</v>
      </c>
      <c r="F171" s="233" t="s">
        <v>42</v>
      </c>
      <c r="G171" s="233" t="s">
        <v>42</v>
      </c>
      <c r="H171" s="233" t="s">
        <v>42</v>
      </c>
      <c r="I171" s="233" t="s">
        <v>42</v>
      </c>
      <c r="J171" s="233" t="s">
        <v>42</v>
      </c>
      <c r="K171" s="358"/>
      <c r="L171" s="358"/>
      <c r="M171" s="181"/>
      <c r="N171" s="181"/>
      <c r="O171" s="181"/>
      <c r="P171" s="181"/>
      <c r="Q171" s="181"/>
      <c r="R171" s="359"/>
    </row>
    <row r="172" spans="1:18" ht="18.95" customHeight="1" x14ac:dyDescent="0.2">
      <c r="A172" s="183"/>
      <c r="B172" s="360" t="s">
        <v>175</v>
      </c>
      <c r="C172" s="360"/>
      <c r="D172" s="233" t="s">
        <v>42</v>
      </c>
      <c r="E172" s="233" t="s">
        <v>42</v>
      </c>
      <c r="F172" s="233" t="s">
        <v>42</v>
      </c>
      <c r="G172" s="233" t="s">
        <v>42</v>
      </c>
      <c r="H172" s="233">
        <v>1</v>
      </c>
      <c r="I172" s="233" t="s">
        <v>42</v>
      </c>
      <c r="J172" s="233" t="s">
        <v>42</v>
      </c>
      <c r="K172" s="358"/>
      <c r="L172" s="358"/>
      <c r="M172" s="181"/>
      <c r="N172" s="181"/>
      <c r="O172" s="181"/>
      <c r="P172" s="181"/>
      <c r="Q172" s="181"/>
      <c r="R172" s="359"/>
    </row>
    <row r="173" spans="1:18" ht="18.95" customHeight="1" x14ac:dyDescent="0.2">
      <c r="A173" s="183"/>
      <c r="B173" s="191" t="s">
        <v>189</v>
      </c>
      <c r="C173" s="191"/>
      <c r="D173" s="233" t="s">
        <v>42</v>
      </c>
      <c r="E173" s="233" t="s">
        <v>42</v>
      </c>
      <c r="F173" s="233">
        <v>1</v>
      </c>
      <c r="G173" s="233" t="s">
        <v>42</v>
      </c>
      <c r="H173" s="233" t="s">
        <v>42</v>
      </c>
      <c r="I173" s="233" t="s">
        <v>42</v>
      </c>
      <c r="J173" s="233" t="s">
        <v>42</v>
      </c>
      <c r="K173" s="186"/>
      <c r="L173" s="186"/>
      <c r="M173" s="185"/>
      <c r="N173" s="185"/>
      <c r="O173" s="185"/>
      <c r="P173" s="185"/>
      <c r="Q173" s="185" t="s">
        <v>54</v>
      </c>
      <c r="R173" s="187" t="s">
        <v>180</v>
      </c>
    </row>
    <row r="174" spans="1:18" ht="18.95" customHeight="1" x14ac:dyDescent="0.2">
      <c r="A174" s="183"/>
      <c r="B174" s="191" t="s">
        <v>191</v>
      </c>
      <c r="C174" s="191"/>
      <c r="D174" s="233" t="s">
        <v>42</v>
      </c>
      <c r="E174" s="233" t="s">
        <v>42</v>
      </c>
      <c r="F174" s="233">
        <v>1</v>
      </c>
      <c r="G174" s="233" t="s">
        <v>42</v>
      </c>
      <c r="H174" s="233" t="s">
        <v>42</v>
      </c>
      <c r="I174" s="233" t="s">
        <v>42</v>
      </c>
      <c r="J174" s="233" t="s">
        <v>42</v>
      </c>
      <c r="K174" s="186"/>
      <c r="L174" s="186"/>
      <c r="M174" s="185"/>
      <c r="N174" s="185"/>
      <c r="O174" s="185"/>
      <c r="P174" s="185"/>
      <c r="Q174" s="185" t="s">
        <v>54</v>
      </c>
      <c r="R174" s="187" t="s">
        <v>193</v>
      </c>
    </row>
    <row r="175" spans="1:18" ht="18.95" customHeight="1" x14ac:dyDescent="0.2">
      <c r="A175" s="183"/>
      <c r="B175" s="191" t="s">
        <v>192</v>
      </c>
      <c r="C175" s="191"/>
      <c r="D175" s="233" t="s">
        <v>42</v>
      </c>
      <c r="E175" s="233" t="s">
        <v>42</v>
      </c>
      <c r="F175" s="233">
        <v>1</v>
      </c>
      <c r="G175" s="233" t="s">
        <v>42</v>
      </c>
      <c r="H175" s="233" t="s">
        <v>42</v>
      </c>
      <c r="I175" s="233" t="s">
        <v>42</v>
      </c>
      <c r="J175" s="233" t="s">
        <v>42</v>
      </c>
      <c r="K175" s="186"/>
      <c r="L175" s="186"/>
      <c r="M175" s="185"/>
      <c r="N175" s="185"/>
      <c r="O175" s="185"/>
      <c r="P175" s="185"/>
      <c r="Q175" s="185" t="s">
        <v>54</v>
      </c>
      <c r="R175" s="187" t="s">
        <v>193</v>
      </c>
    </row>
    <row r="176" spans="1:18" ht="18.95" customHeight="1" x14ac:dyDescent="0.2">
      <c r="A176" s="183"/>
      <c r="B176" s="360" t="s">
        <v>190</v>
      </c>
      <c r="C176" s="360"/>
      <c r="D176" s="233" t="s">
        <v>42</v>
      </c>
      <c r="E176" s="233" t="s">
        <v>42</v>
      </c>
      <c r="F176" s="233">
        <v>1</v>
      </c>
      <c r="G176" s="233" t="s">
        <v>42</v>
      </c>
      <c r="H176" s="233" t="s">
        <v>42</v>
      </c>
      <c r="I176" s="233" t="s">
        <v>42</v>
      </c>
      <c r="J176" s="233" t="s">
        <v>42</v>
      </c>
      <c r="K176" s="358"/>
      <c r="L176" s="358"/>
      <c r="M176" s="181"/>
      <c r="N176" s="181"/>
      <c r="O176" s="181"/>
      <c r="P176" s="181"/>
      <c r="Q176" s="181" t="s">
        <v>54</v>
      </c>
      <c r="R176" s="187" t="s">
        <v>180</v>
      </c>
    </row>
    <row r="177" spans="1:18" ht="18.95" customHeight="1" x14ac:dyDescent="0.2">
      <c r="A177" s="183"/>
      <c r="B177" s="360" t="s">
        <v>176</v>
      </c>
      <c r="C177" s="360"/>
      <c r="D177" s="233" t="s">
        <v>42</v>
      </c>
      <c r="E177" s="233" t="s">
        <v>42</v>
      </c>
      <c r="F177" s="233" t="s">
        <v>42</v>
      </c>
      <c r="G177" s="233">
        <v>1</v>
      </c>
      <c r="H177" s="233" t="s">
        <v>42</v>
      </c>
      <c r="I177" s="233" t="s">
        <v>42</v>
      </c>
      <c r="J177" s="233" t="s">
        <v>42</v>
      </c>
      <c r="K177" s="358">
        <v>5.5</v>
      </c>
      <c r="L177" s="358"/>
      <c r="M177" s="181">
        <v>400</v>
      </c>
      <c r="N177" s="181"/>
      <c r="O177" s="181"/>
      <c r="P177" s="181"/>
      <c r="Q177" s="181"/>
      <c r="R177" s="359"/>
    </row>
    <row r="178" spans="1:18" ht="18.95" customHeight="1" x14ac:dyDescent="0.2">
      <c r="A178" s="183"/>
      <c r="B178" s="360" t="s">
        <v>177</v>
      </c>
      <c r="C178" s="360"/>
      <c r="D178" s="233" t="s">
        <v>42</v>
      </c>
      <c r="E178" s="233">
        <v>1</v>
      </c>
      <c r="F178" s="233" t="s">
        <v>42</v>
      </c>
      <c r="G178" s="233" t="s">
        <v>42</v>
      </c>
      <c r="H178" s="233" t="s">
        <v>42</v>
      </c>
      <c r="I178" s="233" t="s">
        <v>42</v>
      </c>
      <c r="J178" s="233" t="s">
        <v>42</v>
      </c>
      <c r="K178" s="358"/>
      <c r="L178" s="358"/>
      <c r="M178" s="181"/>
      <c r="N178" s="181"/>
      <c r="O178" s="181"/>
      <c r="P178" s="181"/>
      <c r="Q178" s="181"/>
      <c r="R178" s="359"/>
    </row>
    <row r="179" spans="1:18" ht="18.95" customHeight="1" x14ac:dyDescent="0.2">
      <c r="A179" s="183"/>
      <c r="B179" s="360" t="s">
        <v>178</v>
      </c>
      <c r="C179" s="360"/>
      <c r="D179" s="233" t="s">
        <v>42</v>
      </c>
      <c r="E179" s="233" t="s">
        <v>42</v>
      </c>
      <c r="F179" s="233" t="s">
        <v>42</v>
      </c>
      <c r="G179" s="233" t="s">
        <v>42</v>
      </c>
      <c r="H179" s="233">
        <v>1</v>
      </c>
      <c r="I179" s="233" t="s">
        <v>42</v>
      </c>
      <c r="J179" s="233" t="s">
        <v>42</v>
      </c>
      <c r="K179" s="358"/>
      <c r="L179" s="358"/>
      <c r="M179" s="181"/>
      <c r="N179" s="181"/>
      <c r="O179" s="181"/>
      <c r="P179" s="181"/>
      <c r="Q179" s="181"/>
      <c r="R179" s="359"/>
    </row>
    <row r="180" spans="1:18" ht="18.95" customHeight="1" x14ac:dyDescent="0.2">
      <c r="A180" s="183"/>
      <c r="B180" s="360" t="s">
        <v>169</v>
      </c>
      <c r="C180" s="360"/>
      <c r="D180" s="233" t="s">
        <v>42</v>
      </c>
      <c r="E180" s="233" t="s">
        <v>42</v>
      </c>
      <c r="F180" s="233">
        <v>1</v>
      </c>
      <c r="G180" s="233" t="s">
        <v>42</v>
      </c>
      <c r="H180" s="233" t="s">
        <v>42</v>
      </c>
      <c r="I180" s="233" t="s">
        <v>42</v>
      </c>
      <c r="J180" s="233" t="s">
        <v>42</v>
      </c>
      <c r="K180" s="358"/>
      <c r="L180" s="358"/>
      <c r="M180" s="181"/>
      <c r="N180" s="181"/>
      <c r="O180" s="181"/>
      <c r="P180" s="181"/>
      <c r="Q180" s="181" t="s">
        <v>54</v>
      </c>
      <c r="R180" s="359" t="s">
        <v>180</v>
      </c>
    </row>
    <row r="181" spans="1:18" ht="18.95" customHeight="1" x14ac:dyDescent="0.2">
      <c r="A181" s="183"/>
      <c r="B181" s="356" t="s">
        <v>194</v>
      </c>
      <c r="C181" s="357"/>
      <c r="D181" s="233">
        <v>1</v>
      </c>
      <c r="E181" s="233" t="s">
        <v>42</v>
      </c>
      <c r="F181" s="233" t="s">
        <v>42</v>
      </c>
      <c r="G181" s="233">
        <v>2</v>
      </c>
      <c r="H181" s="233" t="s">
        <v>42</v>
      </c>
      <c r="I181" s="233" t="s">
        <v>42</v>
      </c>
      <c r="J181" s="233" t="s">
        <v>42</v>
      </c>
      <c r="K181" s="358"/>
      <c r="L181" s="358"/>
      <c r="M181" s="181"/>
      <c r="N181" s="181"/>
      <c r="O181" s="181"/>
      <c r="P181" s="181"/>
      <c r="Q181" s="181"/>
      <c r="R181" s="359" t="s">
        <v>179</v>
      </c>
    </row>
    <row r="182" spans="1:18" ht="18.95" customHeight="1" x14ac:dyDescent="0.2">
      <c r="A182" s="183"/>
      <c r="B182" s="191" t="s">
        <v>48</v>
      </c>
      <c r="C182" s="191"/>
      <c r="D182" s="233" t="s">
        <v>42</v>
      </c>
      <c r="E182" s="233" t="s">
        <v>42</v>
      </c>
      <c r="F182" s="233" t="s">
        <v>42</v>
      </c>
      <c r="G182" s="233">
        <v>1</v>
      </c>
      <c r="H182" s="233" t="s">
        <v>42</v>
      </c>
      <c r="I182" s="233" t="s">
        <v>42</v>
      </c>
      <c r="J182" s="233" t="s">
        <v>42</v>
      </c>
      <c r="K182" s="186">
        <v>1.5</v>
      </c>
      <c r="L182" s="186"/>
      <c r="M182" s="185">
        <v>230</v>
      </c>
      <c r="N182" s="185"/>
      <c r="O182" s="185"/>
      <c r="P182" s="181"/>
      <c r="Q182" s="181"/>
      <c r="R182" s="359"/>
    </row>
    <row r="183" spans="1:18" ht="18.95" customHeight="1" x14ac:dyDescent="0.2">
      <c r="A183" s="183"/>
      <c r="B183" s="191" t="s">
        <v>49</v>
      </c>
      <c r="C183" s="191"/>
      <c r="D183" s="233" t="s">
        <v>42</v>
      </c>
      <c r="E183" s="233">
        <v>1</v>
      </c>
      <c r="F183" s="233" t="s">
        <v>42</v>
      </c>
      <c r="G183" s="233" t="s">
        <v>42</v>
      </c>
      <c r="H183" s="233" t="s">
        <v>42</v>
      </c>
      <c r="I183" s="233" t="s">
        <v>42</v>
      </c>
      <c r="J183" s="233" t="s">
        <v>42</v>
      </c>
      <c r="K183" s="186"/>
      <c r="L183" s="186"/>
      <c r="M183" s="185"/>
      <c r="N183" s="185"/>
      <c r="O183" s="185"/>
      <c r="P183" s="181"/>
      <c r="Q183" s="181"/>
      <c r="R183" s="359"/>
    </row>
    <row r="184" spans="1:18" ht="18.95" customHeight="1" x14ac:dyDescent="0.2">
      <c r="A184" s="183"/>
      <c r="B184" s="360"/>
      <c r="C184" s="360"/>
      <c r="D184" s="233"/>
      <c r="E184" s="233"/>
      <c r="F184" s="233"/>
      <c r="G184" s="233"/>
      <c r="H184" s="233"/>
      <c r="I184" s="233"/>
      <c r="J184" s="233"/>
      <c r="K184" s="358"/>
      <c r="L184" s="358"/>
      <c r="M184" s="181"/>
      <c r="N184" s="181"/>
      <c r="O184" s="181"/>
      <c r="P184" s="181"/>
      <c r="Q184" s="181"/>
      <c r="R184" s="359"/>
    </row>
    <row r="185" spans="1:18" ht="18.95" customHeight="1" x14ac:dyDescent="0.2">
      <c r="A185" s="225"/>
      <c r="B185" s="226" t="s">
        <v>195</v>
      </c>
      <c r="C185" s="227"/>
      <c r="D185" s="228"/>
      <c r="E185" s="228"/>
      <c r="F185" s="228"/>
      <c r="G185" s="228"/>
      <c r="H185" s="228"/>
      <c r="I185" s="228"/>
      <c r="J185" s="228"/>
      <c r="K185" s="229"/>
      <c r="L185" s="229"/>
      <c r="M185" s="228"/>
      <c r="N185" s="228"/>
      <c r="O185" s="228"/>
      <c r="P185" s="228"/>
      <c r="Q185" s="228"/>
      <c r="R185" s="230"/>
    </row>
    <row r="186" spans="1:18" ht="18.95" customHeight="1" x14ac:dyDescent="0.2">
      <c r="A186" s="183"/>
      <c r="B186" s="356" t="s">
        <v>168</v>
      </c>
      <c r="C186" s="357"/>
      <c r="D186" s="233">
        <v>1</v>
      </c>
      <c r="E186" s="233" t="s">
        <v>42</v>
      </c>
      <c r="F186" s="233" t="s">
        <v>42</v>
      </c>
      <c r="G186" s="233">
        <v>2</v>
      </c>
      <c r="H186" s="233" t="s">
        <v>42</v>
      </c>
      <c r="I186" s="233" t="s">
        <v>42</v>
      </c>
      <c r="J186" s="233" t="s">
        <v>42</v>
      </c>
      <c r="K186" s="358"/>
      <c r="L186" s="358"/>
      <c r="M186" s="181"/>
      <c r="N186" s="181"/>
      <c r="O186" s="181"/>
      <c r="P186" s="181"/>
      <c r="Q186" s="181"/>
      <c r="R186" s="359" t="s">
        <v>179</v>
      </c>
    </row>
    <row r="187" spans="1:18" ht="18.95" customHeight="1" x14ac:dyDescent="0.2">
      <c r="A187" s="183"/>
      <c r="B187" s="360" t="s">
        <v>169</v>
      </c>
      <c r="C187" s="360"/>
      <c r="D187" s="233" t="s">
        <v>42</v>
      </c>
      <c r="E187" s="233" t="s">
        <v>42</v>
      </c>
      <c r="F187" s="233">
        <v>1</v>
      </c>
      <c r="G187" s="233" t="s">
        <v>42</v>
      </c>
      <c r="H187" s="233" t="s">
        <v>42</v>
      </c>
      <c r="I187" s="233" t="s">
        <v>42</v>
      </c>
      <c r="J187" s="233" t="s">
        <v>42</v>
      </c>
      <c r="K187" s="358"/>
      <c r="L187" s="358"/>
      <c r="M187" s="181"/>
      <c r="N187" s="181"/>
      <c r="O187" s="181"/>
      <c r="P187" s="181"/>
      <c r="Q187" s="181" t="s">
        <v>54</v>
      </c>
      <c r="R187" s="359" t="s">
        <v>180</v>
      </c>
    </row>
    <row r="188" spans="1:18" ht="18.95" customHeight="1" x14ac:dyDescent="0.2">
      <c r="A188" s="183"/>
      <c r="B188" s="360" t="s">
        <v>170</v>
      </c>
      <c r="C188" s="360"/>
      <c r="D188" s="233" t="s">
        <v>42</v>
      </c>
      <c r="E188" s="233" t="s">
        <v>42</v>
      </c>
      <c r="F188" s="233">
        <v>1</v>
      </c>
      <c r="G188" s="233" t="s">
        <v>42</v>
      </c>
      <c r="H188" s="233" t="s">
        <v>42</v>
      </c>
      <c r="I188" s="233" t="s">
        <v>42</v>
      </c>
      <c r="J188" s="233" t="s">
        <v>42</v>
      </c>
      <c r="K188" s="358"/>
      <c r="L188" s="358"/>
      <c r="M188" s="181"/>
      <c r="N188" s="181"/>
      <c r="O188" s="181"/>
      <c r="P188" s="181"/>
      <c r="Q188" s="181" t="s">
        <v>54</v>
      </c>
      <c r="R188" s="359" t="s">
        <v>181</v>
      </c>
    </row>
    <row r="189" spans="1:18" ht="18.95" customHeight="1" x14ac:dyDescent="0.2">
      <c r="A189" s="183"/>
      <c r="B189" s="360" t="s">
        <v>182</v>
      </c>
      <c r="C189" s="360"/>
      <c r="D189" s="233" t="s">
        <v>42</v>
      </c>
      <c r="E189" s="233" t="s">
        <v>42</v>
      </c>
      <c r="F189" s="233" t="s">
        <v>42</v>
      </c>
      <c r="G189" s="233" t="s">
        <v>42</v>
      </c>
      <c r="H189" s="233">
        <v>1</v>
      </c>
      <c r="I189" s="233" t="s">
        <v>42</v>
      </c>
      <c r="J189" s="233" t="s">
        <v>42</v>
      </c>
      <c r="K189" s="358"/>
      <c r="L189" s="358"/>
      <c r="M189" s="181"/>
      <c r="N189" s="181"/>
      <c r="O189" s="181"/>
      <c r="P189" s="181"/>
      <c r="Q189" s="181" t="s">
        <v>54</v>
      </c>
      <c r="R189" s="359" t="s">
        <v>183</v>
      </c>
    </row>
    <row r="190" spans="1:18" ht="18.95" customHeight="1" x14ac:dyDescent="0.2">
      <c r="A190" s="183"/>
      <c r="B190" s="360" t="s">
        <v>171</v>
      </c>
      <c r="C190" s="360"/>
      <c r="D190" s="233" t="s">
        <v>42</v>
      </c>
      <c r="E190" s="233" t="s">
        <v>42</v>
      </c>
      <c r="F190" s="233" t="s">
        <v>42</v>
      </c>
      <c r="G190" s="233">
        <v>1</v>
      </c>
      <c r="H190" s="233" t="s">
        <v>42</v>
      </c>
      <c r="I190" s="233" t="s">
        <v>42</v>
      </c>
      <c r="J190" s="233" t="s">
        <v>42</v>
      </c>
      <c r="K190" s="358">
        <v>0.5</v>
      </c>
      <c r="L190" s="358"/>
      <c r="M190" s="181">
        <v>230</v>
      </c>
      <c r="N190" s="181"/>
      <c r="O190" s="181"/>
      <c r="P190" s="181"/>
      <c r="Q190" s="181" t="s">
        <v>58</v>
      </c>
      <c r="R190" s="187" t="s">
        <v>59</v>
      </c>
    </row>
    <row r="191" spans="1:18" ht="18.95" customHeight="1" x14ac:dyDescent="0.2">
      <c r="A191" s="183"/>
      <c r="B191" s="360" t="s">
        <v>60</v>
      </c>
      <c r="C191" s="360"/>
      <c r="D191" s="233" t="s">
        <v>42</v>
      </c>
      <c r="E191" s="233">
        <v>1</v>
      </c>
      <c r="F191" s="233" t="s">
        <v>42</v>
      </c>
      <c r="G191" s="233" t="s">
        <v>42</v>
      </c>
      <c r="H191" s="233" t="s">
        <v>42</v>
      </c>
      <c r="I191" s="233" t="s">
        <v>42</v>
      </c>
      <c r="J191" s="233" t="s">
        <v>42</v>
      </c>
      <c r="K191" s="358"/>
      <c r="L191" s="358"/>
      <c r="M191" s="181"/>
      <c r="N191" s="181"/>
      <c r="O191" s="181"/>
      <c r="P191" s="181"/>
      <c r="Q191" s="181"/>
      <c r="R191" s="359"/>
    </row>
    <row r="192" spans="1:18" ht="18.95" customHeight="1" x14ac:dyDescent="0.2">
      <c r="A192" s="183"/>
      <c r="B192" s="360" t="s">
        <v>184</v>
      </c>
      <c r="C192" s="360"/>
      <c r="D192" s="233" t="s">
        <v>42</v>
      </c>
      <c r="E192" s="233" t="s">
        <v>42</v>
      </c>
      <c r="F192" s="233" t="s">
        <v>42</v>
      </c>
      <c r="G192" s="233" t="s">
        <v>42</v>
      </c>
      <c r="H192" s="233">
        <v>1</v>
      </c>
      <c r="I192" s="233" t="s">
        <v>42</v>
      </c>
      <c r="J192" s="233" t="s">
        <v>42</v>
      </c>
      <c r="K192" s="358"/>
      <c r="L192" s="358"/>
      <c r="M192" s="181"/>
      <c r="N192" s="181"/>
      <c r="O192" s="181"/>
      <c r="P192" s="181"/>
      <c r="Q192" s="181" t="s">
        <v>54</v>
      </c>
      <c r="R192" s="359" t="s">
        <v>185</v>
      </c>
    </row>
    <row r="193" spans="1:18" ht="18.95" customHeight="1" x14ac:dyDescent="0.2">
      <c r="A193" s="183"/>
      <c r="B193" s="360" t="s">
        <v>172</v>
      </c>
      <c r="C193" s="360"/>
      <c r="D193" s="233" t="s">
        <v>42</v>
      </c>
      <c r="E193" s="233">
        <v>1</v>
      </c>
      <c r="F193" s="233" t="s">
        <v>42</v>
      </c>
      <c r="G193" s="233" t="s">
        <v>42</v>
      </c>
      <c r="H193" s="233" t="s">
        <v>42</v>
      </c>
      <c r="I193" s="233" t="s">
        <v>42</v>
      </c>
      <c r="J193" s="233" t="s">
        <v>42</v>
      </c>
      <c r="K193" s="358"/>
      <c r="L193" s="358"/>
      <c r="M193" s="181"/>
      <c r="N193" s="181"/>
      <c r="O193" s="181"/>
      <c r="P193" s="181"/>
      <c r="Q193" s="181" t="s">
        <v>54</v>
      </c>
      <c r="R193" s="359" t="s">
        <v>186</v>
      </c>
    </row>
    <row r="194" spans="1:18" ht="18.95" customHeight="1" x14ac:dyDescent="0.2">
      <c r="A194" s="183"/>
      <c r="B194" s="191" t="s">
        <v>187</v>
      </c>
      <c r="C194" s="191"/>
      <c r="D194" s="233" t="s">
        <v>42</v>
      </c>
      <c r="E194" s="233" t="s">
        <v>42</v>
      </c>
      <c r="F194" s="233">
        <v>1</v>
      </c>
      <c r="G194" s="233" t="s">
        <v>42</v>
      </c>
      <c r="H194" s="233" t="s">
        <v>42</v>
      </c>
      <c r="I194" s="233" t="s">
        <v>42</v>
      </c>
      <c r="J194" s="233" t="s">
        <v>42</v>
      </c>
      <c r="K194" s="186"/>
      <c r="L194" s="186"/>
      <c r="M194" s="185"/>
      <c r="N194" s="185"/>
      <c r="O194" s="185"/>
      <c r="P194" s="185"/>
      <c r="Q194" s="185" t="s">
        <v>54</v>
      </c>
      <c r="R194" s="187" t="s">
        <v>62</v>
      </c>
    </row>
    <row r="195" spans="1:18" ht="18.95" customHeight="1" x14ac:dyDescent="0.2">
      <c r="A195" s="183"/>
      <c r="B195" s="191" t="s">
        <v>188</v>
      </c>
      <c r="C195" s="191"/>
      <c r="D195" s="233" t="s">
        <v>42</v>
      </c>
      <c r="E195" s="233" t="s">
        <v>42</v>
      </c>
      <c r="F195" s="233">
        <v>1</v>
      </c>
      <c r="G195" s="233" t="s">
        <v>42</v>
      </c>
      <c r="H195" s="233" t="s">
        <v>42</v>
      </c>
      <c r="I195" s="233" t="s">
        <v>42</v>
      </c>
      <c r="J195" s="233" t="s">
        <v>42</v>
      </c>
      <c r="K195" s="186"/>
      <c r="L195" s="186"/>
      <c r="M195" s="185"/>
      <c r="N195" s="185"/>
      <c r="O195" s="185"/>
      <c r="P195" s="185"/>
      <c r="Q195" s="185" t="s">
        <v>54</v>
      </c>
      <c r="R195" s="187" t="s">
        <v>62</v>
      </c>
    </row>
    <row r="196" spans="1:18" ht="18.95" customHeight="1" x14ac:dyDescent="0.2">
      <c r="A196" s="183"/>
      <c r="B196" s="360" t="s">
        <v>173</v>
      </c>
      <c r="C196" s="360"/>
      <c r="D196" s="233" t="s">
        <v>42</v>
      </c>
      <c r="E196" s="233" t="s">
        <v>42</v>
      </c>
      <c r="F196" s="233" t="s">
        <v>42</v>
      </c>
      <c r="G196" s="233">
        <v>1</v>
      </c>
      <c r="H196" s="233" t="s">
        <v>42</v>
      </c>
      <c r="I196" s="233" t="s">
        <v>42</v>
      </c>
      <c r="J196" s="233" t="s">
        <v>42</v>
      </c>
      <c r="K196" s="358">
        <v>5.5</v>
      </c>
      <c r="L196" s="358"/>
      <c r="M196" s="181">
        <v>400</v>
      </c>
      <c r="N196" s="181"/>
      <c r="O196" s="181"/>
      <c r="P196" s="181"/>
      <c r="Q196" s="181"/>
      <c r="R196" s="359"/>
    </row>
    <row r="197" spans="1:18" ht="18.95" customHeight="1" x14ac:dyDescent="0.2">
      <c r="A197" s="183"/>
      <c r="B197" s="360" t="s">
        <v>174</v>
      </c>
      <c r="C197" s="360"/>
      <c r="D197" s="233" t="s">
        <v>42</v>
      </c>
      <c r="E197" s="233">
        <v>1</v>
      </c>
      <c r="F197" s="233" t="s">
        <v>42</v>
      </c>
      <c r="G197" s="233" t="s">
        <v>42</v>
      </c>
      <c r="H197" s="233" t="s">
        <v>42</v>
      </c>
      <c r="I197" s="233" t="s">
        <v>42</v>
      </c>
      <c r="J197" s="233" t="s">
        <v>42</v>
      </c>
      <c r="K197" s="358"/>
      <c r="L197" s="358"/>
      <c r="M197" s="181"/>
      <c r="N197" s="181"/>
      <c r="O197" s="181"/>
      <c r="P197" s="181"/>
      <c r="Q197" s="181"/>
      <c r="R197" s="359"/>
    </row>
    <row r="198" spans="1:18" ht="18.95" customHeight="1" x14ac:dyDescent="0.2">
      <c r="A198" s="183"/>
      <c r="B198" s="360" t="s">
        <v>175</v>
      </c>
      <c r="C198" s="360"/>
      <c r="D198" s="233" t="s">
        <v>42</v>
      </c>
      <c r="E198" s="233" t="s">
        <v>42</v>
      </c>
      <c r="F198" s="233" t="s">
        <v>42</v>
      </c>
      <c r="G198" s="233" t="s">
        <v>42</v>
      </c>
      <c r="H198" s="233">
        <v>1</v>
      </c>
      <c r="I198" s="233" t="s">
        <v>42</v>
      </c>
      <c r="J198" s="233" t="s">
        <v>42</v>
      </c>
      <c r="K198" s="358"/>
      <c r="L198" s="358"/>
      <c r="M198" s="181"/>
      <c r="N198" s="181"/>
      <c r="O198" s="181"/>
      <c r="P198" s="181"/>
      <c r="Q198" s="181"/>
      <c r="R198" s="359"/>
    </row>
    <row r="199" spans="1:18" ht="18.95" customHeight="1" x14ac:dyDescent="0.2">
      <c r="A199" s="183"/>
      <c r="B199" s="191" t="s">
        <v>189</v>
      </c>
      <c r="C199" s="191"/>
      <c r="D199" s="233" t="s">
        <v>42</v>
      </c>
      <c r="E199" s="233" t="s">
        <v>42</v>
      </c>
      <c r="F199" s="233">
        <v>1</v>
      </c>
      <c r="G199" s="233" t="s">
        <v>42</v>
      </c>
      <c r="H199" s="233" t="s">
        <v>42</v>
      </c>
      <c r="I199" s="233" t="s">
        <v>42</v>
      </c>
      <c r="J199" s="233" t="s">
        <v>42</v>
      </c>
      <c r="K199" s="186"/>
      <c r="L199" s="186"/>
      <c r="M199" s="185"/>
      <c r="N199" s="185"/>
      <c r="O199" s="185"/>
      <c r="P199" s="185"/>
      <c r="Q199" s="185" t="s">
        <v>54</v>
      </c>
      <c r="R199" s="187" t="s">
        <v>180</v>
      </c>
    </row>
    <row r="200" spans="1:18" ht="18.95" customHeight="1" x14ac:dyDescent="0.2">
      <c r="A200" s="183"/>
      <c r="B200" s="191" t="s">
        <v>191</v>
      </c>
      <c r="C200" s="191"/>
      <c r="D200" s="233" t="s">
        <v>42</v>
      </c>
      <c r="E200" s="233" t="s">
        <v>42</v>
      </c>
      <c r="F200" s="233">
        <v>1</v>
      </c>
      <c r="G200" s="233" t="s">
        <v>42</v>
      </c>
      <c r="H200" s="233" t="s">
        <v>42</v>
      </c>
      <c r="I200" s="233" t="s">
        <v>42</v>
      </c>
      <c r="J200" s="233" t="s">
        <v>42</v>
      </c>
      <c r="K200" s="186"/>
      <c r="L200" s="186"/>
      <c r="M200" s="185"/>
      <c r="N200" s="185"/>
      <c r="O200" s="185"/>
      <c r="P200" s="185"/>
      <c r="Q200" s="185" t="s">
        <v>54</v>
      </c>
      <c r="R200" s="187" t="s">
        <v>193</v>
      </c>
    </row>
    <row r="201" spans="1:18" ht="18.95" customHeight="1" x14ac:dyDescent="0.2">
      <c r="A201" s="183"/>
      <c r="B201" s="191" t="s">
        <v>192</v>
      </c>
      <c r="C201" s="191"/>
      <c r="D201" s="233" t="s">
        <v>42</v>
      </c>
      <c r="E201" s="233" t="s">
        <v>42</v>
      </c>
      <c r="F201" s="233">
        <v>1</v>
      </c>
      <c r="G201" s="233" t="s">
        <v>42</v>
      </c>
      <c r="H201" s="233" t="s">
        <v>42</v>
      </c>
      <c r="I201" s="233" t="s">
        <v>42</v>
      </c>
      <c r="J201" s="233" t="s">
        <v>42</v>
      </c>
      <c r="K201" s="186"/>
      <c r="L201" s="186"/>
      <c r="M201" s="185"/>
      <c r="N201" s="185"/>
      <c r="O201" s="185"/>
      <c r="P201" s="185"/>
      <c r="Q201" s="185" t="s">
        <v>54</v>
      </c>
      <c r="R201" s="187" t="s">
        <v>193</v>
      </c>
    </row>
    <row r="202" spans="1:18" ht="18.95" customHeight="1" x14ac:dyDescent="0.2">
      <c r="A202" s="183"/>
      <c r="B202" s="360" t="s">
        <v>190</v>
      </c>
      <c r="C202" s="360"/>
      <c r="D202" s="233" t="s">
        <v>42</v>
      </c>
      <c r="E202" s="233" t="s">
        <v>42</v>
      </c>
      <c r="F202" s="233">
        <v>1</v>
      </c>
      <c r="G202" s="233" t="s">
        <v>42</v>
      </c>
      <c r="H202" s="233" t="s">
        <v>42</v>
      </c>
      <c r="I202" s="233" t="s">
        <v>42</v>
      </c>
      <c r="J202" s="233" t="s">
        <v>42</v>
      </c>
      <c r="K202" s="358"/>
      <c r="L202" s="358"/>
      <c r="M202" s="181"/>
      <c r="N202" s="181"/>
      <c r="O202" s="181"/>
      <c r="P202" s="181"/>
      <c r="Q202" s="181" t="s">
        <v>54</v>
      </c>
      <c r="R202" s="187" t="s">
        <v>180</v>
      </c>
    </row>
    <row r="203" spans="1:18" ht="18.95" customHeight="1" x14ac:dyDescent="0.2">
      <c r="A203" s="183"/>
      <c r="B203" s="360" t="s">
        <v>176</v>
      </c>
      <c r="C203" s="360"/>
      <c r="D203" s="233" t="s">
        <v>42</v>
      </c>
      <c r="E203" s="233" t="s">
        <v>42</v>
      </c>
      <c r="F203" s="233" t="s">
        <v>42</v>
      </c>
      <c r="G203" s="233">
        <v>1</v>
      </c>
      <c r="H203" s="233" t="s">
        <v>42</v>
      </c>
      <c r="I203" s="233" t="s">
        <v>42</v>
      </c>
      <c r="J203" s="233" t="s">
        <v>42</v>
      </c>
      <c r="K203" s="358">
        <v>5.5</v>
      </c>
      <c r="L203" s="358"/>
      <c r="M203" s="181">
        <v>400</v>
      </c>
      <c r="N203" s="181"/>
      <c r="O203" s="181"/>
      <c r="P203" s="181"/>
      <c r="Q203" s="181"/>
      <c r="R203" s="359"/>
    </row>
    <row r="204" spans="1:18" ht="18.95" customHeight="1" x14ac:dyDescent="0.2">
      <c r="A204" s="183"/>
      <c r="B204" s="360" t="s">
        <v>177</v>
      </c>
      <c r="C204" s="360"/>
      <c r="D204" s="233" t="s">
        <v>42</v>
      </c>
      <c r="E204" s="233">
        <v>1</v>
      </c>
      <c r="F204" s="233" t="s">
        <v>42</v>
      </c>
      <c r="G204" s="233" t="s">
        <v>42</v>
      </c>
      <c r="H204" s="233" t="s">
        <v>42</v>
      </c>
      <c r="I204" s="233" t="s">
        <v>42</v>
      </c>
      <c r="J204" s="233" t="s">
        <v>42</v>
      </c>
      <c r="K204" s="358"/>
      <c r="L204" s="358"/>
      <c r="M204" s="181"/>
      <c r="N204" s="181"/>
      <c r="O204" s="181"/>
      <c r="P204" s="181"/>
      <c r="Q204" s="181"/>
      <c r="R204" s="359"/>
    </row>
    <row r="205" spans="1:18" ht="18.95" customHeight="1" x14ac:dyDescent="0.2">
      <c r="A205" s="183"/>
      <c r="B205" s="360" t="s">
        <v>178</v>
      </c>
      <c r="C205" s="360"/>
      <c r="D205" s="233" t="s">
        <v>42</v>
      </c>
      <c r="E205" s="233" t="s">
        <v>42</v>
      </c>
      <c r="F205" s="233" t="s">
        <v>42</v>
      </c>
      <c r="G205" s="233" t="s">
        <v>42</v>
      </c>
      <c r="H205" s="233">
        <v>1</v>
      </c>
      <c r="I205" s="233" t="s">
        <v>42</v>
      </c>
      <c r="J205" s="233" t="s">
        <v>42</v>
      </c>
      <c r="K205" s="358"/>
      <c r="L205" s="358"/>
      <c r="M205" s="181"/>
      <c r="N205" s="181"/>
      <c r="O205" s="181"/>
      <c r="P205" s="181"/>
      <c r="Q205" s="181"/>
      <c r="R205" s="359"/>
    </row>
    <row r="206" spans="1:18" ht="18.95" customHeight="1" x14ac:dyDescent="0.2">
      <c r="A206" s="183"/>
      <c r="B206" s="360" t="s">
        <v>169</v>
      </c>
      <c r="C206" s="360"/>
      <c r="D206" s="233" t="s">
        <v>42</v>
      </c>
      <c r="E206" s="233" t="s">
        <v>42</v>
      </c>
      <c r="F206" s="233">
        <v>1</v>
      </c>
      <c r="G206" s="233" t="s">
        <v>42</v>
      </c>
      <c r="H206" s="233" t="s">
        <v>42</v>
      </c>
      <c r="I206" s="233" t="s">
        <v>42</v>
      </c>
      <c r="J206" s="233" t="s">
        <v>42</v>
      </c>
      <c r="K206" s="358"/>
      <c r="L206" s="358"/>
      <c r="M206" s="181"/>
      <c r="N206" s="181"/>
      <c r="O206" s="181"/>
      <c r="P206" s="181"/>
      <c r="Q206" s="181" t="s">
        <v>54</v>
      </c>
      <c r="R206" s="359" t="s">
        <v>180</v>
      </c>
    </row>
    <row r="207" spans="1:18" ht="18.95" customHeight="1" x14ac:dyDescent="0.2">
      <c r="A207" s="183"/>
      <c r="B207" s="356" t="s">
        <v>194</v>
      </c>
      <c r="C207" s="357"/>
      <c r="D207" s="233">
        <v>1</v>
      </c>
      <c r="E207" s="233" t="s">
        <v>42</v>
      </c>
      <c r="F207" s="233" t="s">
        <v>42</v>
      </c>
      <c r="G207" s="233">
        <v>2</v>
      </c>
      <c r="H207" s="233" t="s">
        <v>42</v>
      </c>
      <c r="I207" s="233" t="s">
        <v>42</v>
      </c>
      <c r="J207" s="233" t="s">
        <v>42</v>
      </c>
      <c r="K207" s="358"/>
      <c r="L207" s="358"/>
      <c r="M207" s="181"/>
      <c r="N207" s="181"/>
      <c r="O207" s="181"/>
      <c r="P207" s="181"/>
      <c r="Q207" s="181"/>
      <c r="R207" s="359" t="s">
        <v>179</v>
      </c>
    </row>
    <row r="208" spans="1:18" ht="18.95" customHeight="1" x14ac:dyDescent="0.2">
      <c r="A208" s="183"/>
      <c r="B208" s="191" t="s">
        <v>48</v>
      </c>
      <c r="C208" s="191"/>
      <c r="D208" s="233" t="s">
        <v>42</v>
      </c>
      <c r="E208" s="233" t="s">
        <v>42</v>
      </c>
      <c r="F208" s="233" t="s">
        <v>42</v>
      </c>
      <c r="G208" s="233">
        <v>1</v>
      </c>
      <c r="H208" s="233" t="s">
        <v>42</v>
      </c>
      <c r="I208" s="233" t="s">
        <v>42</v>
      </c>
      <c r="J208" s="233" t="s">
        <v>42</v>
      </c>
      <c r="K208" s="186">
        <v>1.5</v>
      </c>
      <c r="L208" s="186"/>
      <c r="M208" s="185">
        <v>230</v>
      </c>
      <c r="N208" s="185"/>
      <c r="O208" s="185"/>
      <c r="P208" s="181"/>
      <c r="Q208" s="181"/>
      <c r="R208" s="359"/>
    </row>
    <row r="209" spans="1:18" ht="18.95" customHeight="1" x14ac:dyDescent="0.2">
      <c r="A209" s="183"/>
      <c r="B209" s="191" t="s">
        <v>49</v>
      </c>
      <c r="C209" s="191"/>
      <c r="D209" s="233" t="s">
        <v>42</v>
      </c>
      <c r="E209" s="233">
        <v>1</v>
      </c>
      <c r="F209" s="233" t="s">
        <v>42</v>
      </c>
      <c r="G209" s="233" t="s">
        <v>42</v>
      </c>
      <c r="H209" s="233" t="s">
        <v>42</v>
      </c>
      <c r="I209" s="233" t="s">
        <v>42</v>
      </c>
      <c r="J209" s="233" t="s">
        <v>42</v>
      </c>
      <c r="K209" s="186"/>
      <c r="L209" s="186"/>
      <c r="M209" s="185"/>
      <c r="N209" s="185"/>
      <c r="O209" s="185"/>
      <c r="P209" s="181"/>
      <c r="Q209" s="181"/>
      <c r="R209" s="359"/>
    </row>
    <row r="210" spans="1:18" ht="18.95" customHeight="1" x14ac:dyDescent="0.2">
      <c r="A210" s="183"/>
      <c r="B210" s="360"/>
      <c r="C210" s="360"/>
      <c r="D210" s="233"/>
      <c r="E210" s="233"/>
      <c r="F210" s="233"/>
      <c r="G210" s="233"/>
      <c r="H210" s="233"/>
      <c r="I210" s="233"/>
      <c r="J210" s="233"/>
      <c r="K210" s="358"/>
      <c r="L210" s="358"/>
      <c r="M210" s="181"/>
      <c r="N210" s="181"/>
      <c r="O210" s="181"/>
      <c r="P210" s="181"/>
      <c r="Q210" s="181"/>
      <c r="R210" s="359"/>
    </row>
    <row r="211" spans="1:18" ht="18.95" customHeight="1" x14ac:dyDescent="0.2">
      <c r="A211" s="225"/>
      <c r="B211" s="226" t="s">
        <v>196</v>
      </c>
      <c r="C211" s="227"/>
      <c r="D211" s="228"/>
      <c r="E211" s="228"/>
      <c r="F211" s="228"/>
      <c r="G211" s="228"/>
      <c r="H211" s="228"/>
      <c r="I211" s="228"/>
      <c r="J211" s="228"/>
      <c r="K211" s="229"/>
      <c r="L211" s="229"/>
      <c r="M211" s="228"/>
      <c r="N211" s="228"/>
      <c r="O211" s="228"/>
      <c r="P211" s="228"/>
      <c r="Q211" s="228"/>
      <c r="R211" s="230"/>
    </row>
    <row r="212" spans="1:18" ht="18.95" customHeight="1" x14ac:dyDescent="0.2">
      <c r="A212" s="183"/>
      <c r="B212" s="191" t="s">
        <v>197</v>
      </c>
      <c r="C212" s="191"/>
      <c r="D212" s="233" t="s">
        <v>42</v>
      </c>
      <c r="E212" s="233" t="s">
        <v>42</v>
      </c>
      <c r="F212" s="233" t="s">
        <v>42</v>
      </c>
      <c r="G212" s="233" t="s">
        <v>42</v>
      </c>
      <c r="H212" s="233" t="s">
        <v>42</v>
      </c>
      <c r="I212" s="233" t="s">
        <v>42</v>
      </c>
      <c r="J212" s="233" t="s">
        <v>42</v>
      </c>
      <c r="K212" s="186"/>
      <c r="L212" s="186"/>
      <c r="M212" s="185"/>
      <c r="N212" s="185"/>
      <c r="O212" s="185"/>
      <c r="P212" s="185"/>
      <c r="Q212" s="185"/>
      <c r="R212" s="187"/>
    </row>
    <row r="213" spans="1:18" ht="18.95" customHeight="1" x14ac:dyDescent="0.2">
      <c r="A213" s="183"/>
      <c r="B213" s="191" t="s">
        <v>163</v>
      </c>
      <c r="C213" s="191"/>
      <c r="D213" s="233" t="s">
        <v>42</v>
      </c>
      <c r="E213" s="233" t="s">
        <v>42</v>
      </c>
      <c r="F213" s="233" t="s">
        <v>42</v>
      </c>
      <c r="G213" s="233" t="s">
        <v>42</v>
      </c>
      <c r="H213" s="233">
        <v>1</v>
      </c>
      <c r="I213" s="233" t="s">
        <v>42</v>
      </c>
      <c r="J213" s="233" t="s">
        <v>42</v>
      </c>
      <c r="K213" s="186"/>
      <c r="L213" s="186"/>
      <c r="M213" s="185"/>
      <c r="N213" s="185"/>
      <c r="O213" s="185"/>
      <c r="P213" s="185"/>
      <c r="Q213" s="185" t="s">
        <v>54</v>
      </c>
      <c r="R213" s="187" t="s">
        <v>164</v>
      </c>
    </row>
    <row r="214" spans="1:18" ht="18.95" customHeight="1" x14ac:dyDescent="0.2">
      <c r="A214" s="183"/>
      <c r="B214" s="191" t="s">
        <v>61</v>
      </c>
      <c r="C214" s="191"/>
      <c r="D214" s="233" t="s">
        <v>42</v>
      </c>
      <c r="E214" s="233" t="s">
        <v>42</v>
      </c>
      <c r="F214" s="233">
        <v>1</v>
      </c>
      <c r="G214" s="233" t="s">
        <v>42</v>
      </c>
      <c r="H214" s="233" t="s">
        <v>42</v>
      </c>
      <c r="I214" s="233" t="s">
        <v>42</v>
      </c>
      <c r="J214" s="233" t="s">
        <v>42</v>
      </c>
      <c r="K214" s="186"/>
      <c r="L214" s="186"/>
      <c r="M214" s="185"/>
      <c r="N214" s="185"/>
      <c r="O214" s="185"/>
      <c r="P214" s="185"/>
      <c r="Q214" s="185" t="s">
        <v>54</v>
      </c>
      <c r="R214" s="187" t="s">
        <v>62</v>
      </c>
    </row>
    <row r="215" spans="1:18" ht="18.95" customHeight="1" x14ac:dyDescent="0.2">
      <c r="A215" s="183"/>
      <c r="B215" s="191" t="s">
        <v>63</v>
      </c>
      <c r="C215" s="191"/>
      <c r="D215" s="233" t="s">
        <v>42</v>
      </c>
      <c r="E215" s="233" t="s">
        <v>42</v>
      </c>
      <c r="F215" s="233">
        <v>1</v>
      </c>
      <c r="G215" s="233" t="s">
        <v>42</v>
      </c>
      <c r="H215" s="233" t="s">
        <v>42</v>
      </c>
      <c r="I215" s="233" t="s">
        <v>42</v>
      </c>
      <c r="J215" s="233" t="s">
        <v>42</v>
      </c>
      <c r="K215" s="186"/>
      <c r="L215" s="186"/>
      <c r="M215" s="185"/>
      <c r="N215" s="185"/>
      <c r="O215" s="185"/>
      <c r="P215" s="185"/>
      <c r="Q215" s="185" t="s">
        <v>54</v>
      </c>
      <c r="R215" s="187" t="s">
        <v>62</v>
      </c>
    </row>
    <row r="216" spans="1:18" ht="18.95" customHeight="1" x14ac:dyDescent="0.2">
      <c r="A216" s="183"/>
      <c r="B216" s="191"/>
      <c r="C216" s="191"/>
      <c r="D216" s="233"/>
      <c r="E216" s="233"/>
      <c r="F216" s="233"/>
      <c r="G216" s="233"/>
      <c r="H216" s="233"/>
      <c r="I216" s="233"/>
      <c r="J216" s="233"/>
      <c r="K216" s="186"/>
      <c r="L216" s="186"/>
      <c r="M216" s="185"/>
      <c r="N216" s="185"/>
      <c r="O216" s="185"/>
      <c r="P216" s="185"/>
      <c r="Q216" s="185"/>
      <c r="R216" s="187"/>
    </row>
    <row r="217" spans="1:18" ht="18.95" customHeight="1" x14ac:dyDescent="0.2">
      <c r="A217" s="225"/>
      <c r="B217" s="226" t="s">
        <v>198</v>
      </c>
      <c r="C217" s="227"/>
      <c r="D217" s="228"/>
      <c r="E217" s="228"/>
      <c r="F217" s="228"/>
      <c r="G217" s="228"/>
      <c r="H217" s="228"/>
      <c r="I217" s="228"/>
      <c r="J217" s="228"/>
      <c r="K217" s="229"/>
      <c r="L217" s="229"/>
      <c r="M217" s="228"/>
      <c r="N217" s="228"/>
      <c r="O217" s="228"/>
      <c r="P217" s="228"/>
      <c r="Q217" s="228"/>
      <c r="R217" s="230"/>
    </row>
    <row r="218" spans="1:18" ht="18.95" customHeight="1" x14ac:dyDescent="0.2">
      <c r="A218" s="183"/>
      <c r="B218" s="191" t="s">
        <v>189</v>
      </c>
      <c r="C218" s="191"/>
      <c r="D218" s="233" t="s">
        <v>42</v>
      </c>
      <c r="E218" s="233" t="s">
        <v>42</v>
      </c>
      <c r="F218" s="233">
        <v>1</v>
      </c>
      <c r="G218" s="233" t="s">
        <v>42</v>
      </c>
      <c r="H218" s="233" t="s">
        <v>42</v>
      </c>
      <c r="I218" s="233" t="s">
        <v>42</v>
      </c>
      <c r="J218" s="233" t="s">
        <v>42</v>
      </c>
      <c r="K218" s="186"/>
      <c r="L218" s="186"/>
      <c r="M218" s="185"/>
      <c r="N218" s="185"/>
      <c r="O218" s="185"/>
      <c r="P218" s="185"/>
      <c r="Q218" s="185" t="s">
        <v>54</v>
      </c>
      <c r="R218" s="187" t="s">
        <v>180</v>
      </c>
    </row>
    <row r="219" spans="1:18" ht="18.95" customHeight="1" x14ac:dyDescent="0.2">
      <c r="A219" s="183"/>
      <c r="B219" s="191" t="s">
        <v>191</v>
      </c>
      <c r="C219" s="191"/>
      <c r="D219" s="233" t="s">
        <v>42</v>
      </c>
      <c r="E219" s="233" t="s">
        <v>42</v>
      </c>
      <c r="F219" s="233">
        <v>1</v>
      </c>
      <c r="G219" s="233" t="s">
        <v>42</v>
      </c>
      <c r="H219" s="233" t="s">
        <v>42</v>
      </c>
      <c r="I219" s="233" t="s">
        <v>42</v>
      </c>
      <c r="J219" s="233" t="s">
        <v>42</v>
      </c>
      <c r="K219" s="186"/>
      <c r="L219" s="186"/>
      <c r="M219" s="185"/>
      <c r="N219" s="185"/>
      <c r="O219" s="185"/>
      <c r="P219" s="185"/>
      <c r="Q219" s="185" t="s">
        <v>54</v>
      </c>
      <c r="R219" s="187" t="s">
        <v>193</v>
      </c>
    </row>
    <row r="220" spans="1:18" ht="18.95" customHeight="1" x14ac:dyDescent="0.2">
      <c r="A220" s="183"/>
      <c r="B220" s="191" t="s">
        <v>192</v>
      </c>
      <c r="C220" s="191"/>
      <c r="D220" s="233" t="s">
        <v>42</v>
      </c>
      <c r="E220" s="233" t="s">
        <v>42</v>
      </c>
      <c r="F220" s="233">
        <v>1</v>
      </c>
      <c r="G220" s="233" t="s">
        <v>42</v>
      </c>
      <c r="H220" s="233" t="s">
        <v>42</v>
      </c>
      <c r="I220" s="233" t="s">
        <v>42</v>
      </c>
      <c r="J220" s="233" t="s">
        <v>42</v>
      </c>
      <c r="K220" s="186"/>
      <c r="L220" s="186"/>
      <c r="M220" s="185"/>
      <c r="N220" s="185"/>
      <c r="O220" s="185"/>
      <c r="P220" s="185"/>
      <c r="Q220" s="185" t="s">
        <v>54</v>
      </c>
      <c r="R220" s="187" t="s">
        <v>193</v>
      </c>
    </row>
    <row r="221" spans="1:18" ht="18.95" customHeight="1" x14ac:dyDescent="0.2">
      <c r="A221" s="183"/>
      <c r="B221" s="360" t="s">
        <v>190</v>
      </c>
      <c r="C221" s="360"/>
      <c r="D221" s="233" t="s">
        <v>42</v>
      </c>
      <c r="E221" s="233" t="s">
        <v>42</v>
      </c>
      <c r="F221" s="233">
        <v>1</v>
      </c>
      <c r="G221" s="233" t="s">
        <v>42</v>
      </c>
      <c r="H221" s="233" t="s">
        <v>42</v>
      </c>
      <c r="I221" s="233" t="s">
        <v>42</v>
      </c>
      <c r="J221" s="233" t="s">
        <v>42</v>
      </c>
      <c r="K221" s="358"/>
      <c r="L221" s="358"/>
      <c r="M221" s="181"/>
      <c r="N221" s="181"/>
      <c r="O221" s="181"/>
      <c r="P221" s="181"/>
      <c r="Q221" s="181" t="s">
        <v>54</v>
      </c>
      <c r="R221" s="187" t="s">
        <v>180</v>
      </c>
    </row>
    <row r="222" spans="1:18" ht="18.95" customHeight="1" x14ac:dyDescent="0.2">
      <c r="A222" s="183"/>
      <c r="B222" s="191"/>
      <c r="C222" s="191"/>
      <c r="D222" s="233"/>
      <c r="E222" s="233"/>
      <c r="F222" s="233"/>
      <c r="G222" s="233"/>
      <c r="H222" s="233"/>
      <c r="I222" s="233"/>
      <c r="J222" s="233"/>
      <c r="K222" s="186"/>
      <c r="L222" s="186"/>
      <c r="M222" s="185"/>
      <c r="N222" s="185"/>
      <c r="O222" s="185"/>
      <c r="P222" s="185"/>
      <c r="Q222" s="185"/>
      <c r="R222" s="187"/>
    </row>
    <row r="223" spans="1:18" ht="18.95" customHeight="1" x14ac:dyDescent="0.2">
      <c r="A223" s="225"/>
      <c r="B223" s="226" t="s">
        <v>199</v>
      </c>
      <c r="C223" s="227"/>
      <c r="D223" s="228"/>
      <c r="E223" s="228"/>
      <c r="F223" s="228"/>
      <c r="G223" s="228"/>
      <c r="H223" s="228"/>
      <c r="I223" s="228"/>
      <c r="J223" s="228"/>
      <c r="K223" s="229"/>
      <c r="L223" s="229"/>
      <c r="M223" s="228"/>
      <c r="N223" s="228"/>
      <c r="O223" s="228"/>
      <c r="P223" s="228"/>
      <c r="Q223" s="228"/>
      <c r="R223" s="230"/>
    </row>
    <row r="224" spans="1:18" ht="18.95" customHeight="1" x14ac:dyDescent="0.2">
      <c r="A224" s="183"/>
      <c r="B224" s="191" t="s">
        <v>200</v>
      </c>
      <c r="C224" s="191"/>
      <c r="D224" s="233" t="s">
        <v>42</v>
      </c>
      <c r="E224" s="233" t="s">
        <v>42</v>
      </c>
      <c r="F224" s="233" t="s">
        <v>42</v>
      </c>
      <c r="G224" s="233" t="s">
        <v>42</v>
      </c>
      <c r="H224" s="233" t="s">
        <v>42</v>
      </c>
      <c r="I224" s="233">
        <v>5</v>
      </c>
      <c r="J224" s="233">
        <v>10</v>
      </c>
      <c r="K224" s="186"/>
      <c r="L224" s="186"/>
      <c r="M224" s="185"/>
      <c r="N224" s="185"/>
      <c r="O224" s="185"/>
      <c r="P224" s="185" t="s">
        <v>139</v>
      </c>
      <c r="Q224" s="185"/>
      <c r="R224" s="187"/>
    </row>
    <row r="225" spans="1:18" ht="18.95" customHeight="1" x14ac:dyDescent="0.2">
      <c r="A225" s="183"/>
      <c r="B225" s="191" t="s">
        <v>201</v>
      </c>
      <c r="C225" s="191"/>
      <c r="D225" s="233" t="s">
        <v>42</v>
      </c>
      <c r="E225" s="233" t="s">
        <v>42</v>
      </c>
      <c r="F225" s="233" t="s">
        <v>42</v>
      </c>
      <c r="G225" s="233" t="s">
        <v>42</v>
      </c>
      <c r="H225" s="233" t="s">
        <v>42</v>
      </c>
      <c r="I225" s="233">
        <v>5</v>
      </c>
      <c r="J225" s="233">
        <v>10</v>
      </c>
      <c r="K225" s="186"/>
      <c r="L225" s="186"/>
      <c r="M225" s="185"/>
      <c r="N225" s="185"/>
      <c r="O225" s="185"/>
      <c r="P225" s="185" t="s">
        <v>139</v>
      </c>
      <c r="Q225" s="185"/>
      <c r="R225" s="187"/>
    </row>
    <row r="226" spans="1:18" ht="18.95" customHeight="1" x14ac:dyDescent="0.2">
      <c r="A226" s="183"/>
      <c r="B226" s="191" t="s">
        <v>202</v>
      </c>
      <c r="C226" s="191"/>
      <c r="D226" s="233" t="s">
        <v>42</v>
      </c>
      <c r="E226" s="233" t="s">
        <v>42</v>
      </c>
      <c r="F226" s="233" t="s">
        <v>42</v>
      </c>
      <c r="G226" s="233" t="s">
        <v>42</v>
      </c>
      <c r="H226" s="233" t="s">
        <v>42</v>
      </c>
      <c r="I226" s="233">
        <v>5</v>
      </c>
      <c r="J226" s="233">
        <v>10</v>
      </c>
      <c r="K226" s="186"/>
      <c r="L226" s="186"/>
      <c r="M226" s="185"/>
      <c r="N226" s="185"/>
      <c r="O226" s="185"/>
      <c r="P226" s="185" t="s">
        <v>139</v>
      </c>
      <c r="Q226" s="185"/>
      <c r="R226" s="187"/>
    </row>
    <row r="227" spans="1:18" ht="18.95" customHeight="1" x14ac:dyDescent="0.2">
      <c r="A227" s="183"/>
      <c r="B227" s="191"/>
      <c r="C227" s="191"/>
      <c r="D227" s="233"/>
      <c r="E227" s="233"/>
      <c r="F227" s="233"/>
      <c r="G227" s="233"/>
      <c r="H227" s="233"/>
      <c r="I227" s="233"/>
      <c r="J227" s="233"/>
      <c r="K227" s="186"/>
      <c r="L227" s="186"/>
      <c r="M227" s="185"/>
      <c r="N227" s="185"/>
      <c r="O227" s="185"/>
      <c r="P227" s="185"/>
      <c r="Q227" s="185"/>
      <c r="R227" s="187"/>
    </row>
    <row r="228" spans="1:18" ht="18.95" customHeight="1" x14ac:dyDescent="0.2">
      <c r="A228" s="225"/>
      <c r="B228" s="226" t="s">
        <v>71</v>
      </c>
      <c r="C228" s="227"/>
      <c r="D228" s="228"/>
      <c r="E228" s="228"/>
      <c r="F228" s="228"/>
      <c r="G228" s="228"/>
      <c r="H228" s="228"/>
      <c r="I228" s="228"/>
      <c r="J228" s="228"/>
      <c r="K228" s="229"/>
      <c r="L228" s="229"/>
      <c r="M228" s="228"/>
      <c r="N228" s="228"/>
      <c r="O228" s="228"/>
      <c r="P228" s="228"/>
      <c r="Q228" s="228"/>
      <c r="R228" s="230"/>
    </row>
    <row r="229" spans="1:18" ht="18.95" customHeight="1" x14ac:dyDescent="0.2">
      <c r="A229" s="183"/>
      <c r="B229" s="191" t="s">
        <v>203</v>
      </c>
      <c r="C229" s="191"/>
      <c r="D229" s="233" t="s">
        <v>42</v>
      </c>
      <c r="E229" s="233" t="s">
        <v>42</v>
      </c>
      <c r="F229" s="233" t="s">
        <v>42</v>
      </c>
      <c r="G229" s="233" t="s">
        <v>42</v>
      </c>
      <c r="H229" s="233" t="s">
        <v>42</v>
      </c>
      <c r="I229" s="233" t="s">
        <v>42</v>
      </c>
      <c r="J229" s="233">
        <v>3</v>
      </c>
      <c r="K229" s="186"/>
      <c r="L229" s="186"/>
      <c r="M229" s="185"/>
      <c r="N229" s="185"/>
      <c r="O229" s="185"/>
      <c r="P229" s="185" t="s">
        <v>52</v>
      </c>
      <c r="Q229" s="185"/>
      <c r="R229" s="187"/>
    </row>
    <row r="230" spans="1:18" ht="18.95" customHeight="1" x14ac:dyDescent="0.2">
      <c r="A230" s="183"/>
      <c r="B230" s="191" t="s">
        <v>204</v>
      </c>
      <c r="C230" s="191"/>
      <c r="D230" s="233" t="s">
        <v>42</v>
      </c>
      <c r="E230" s="233" t="s">
        <v>42</v>
      </c>
      <c r="F230" s="233" t="s">
        <v>42</v>
      </c>
      <c r="G230" s="233" t="s">
        <v>42</v>
      </c>
      <c r="H230" s="233" t="s">
        <v>42</v>
      </c>
      <c r="I230" s="233" t="s">
        <v>42</v>
      </c>
      <c r="J230" s="233">
        <v>3</v>
      </c>
      <c r="K230" s="186"/>
      <c r="L230" s="186"/>
      <c r="M230" s="185"/>
      <c r="N230" s="185"/>
      <c r="O230" s="185"/>
      <c r="P230" s="185" t="s">
        <v>52</v>
      </c>
      <c r="Q230" s="185"/>
      <c r="R230" s="187"/>
    </row>
    <row r="231" spans="1:18" ht="18.95" customHeight="1" x14ac:dyDescent="0.2">
      <c r="A231" s="183"/>
      <c r="B231" s="191" t="s">
        <v>205</v>
      </c>
      <c r="C231" s="191"/>
      <c r="D231" s="233" t="s">
        <v>42</v>
      </c>
      <c r="E231" s="233" t="s">
        <v>42</v>
      </c>
      <c r="F231" s="233" t="s">
        <v>42</v>
      </c>
      <c r="G231" s="233" t="s">
        <v>42</v>
      </c>
      <c r="H231" s="233" t="s">
        <v>42</v>
      </c>
      <c r="I231" s="233" t="s">
        <v>42</v>
      </c>
      <c r="J231" s="233">
        <v>3</v>
      </c>
      <c r="K231" s="186"/>
      <c r="L231" s="186"/>
      <c r="M231" s="185"/>
      <c r="N231" s="185"/>
      <c r="O231" s="185"/>
      <c r="P231" s="185" t="s">
        <v>52</v>
      </c>
      <c r="Q231" s="185"/>
      <c r="R231" s="187"/>
    </row>
    <row r="232" spans="1:18" ht="18.95" customHeight="1" x14ac:dyDescent="0.2">
      <c r="A232" s="183"/>
      <c r="B232" s="191" t="s">
        <v>206</v>
      </c>
      <c r="C232" s="191"/>
      <c r="D232" s="233" t="s">
        <v>42</v>
      </c>
      <c r="E232" s="233" t="s">
        <v>42</v>
      </c>
      <c r="F232" s="233" t="s">
        <v>42</v>
      </c>
      <c r="G232" s="233" t="s">
        <v>42</v>
      </c>
      <c r="H232" s="233" t="s">
        <v>42</v>
      </c>
      <c r="I232" s="233" t="s">
        <v>42</v>
      </c>
      <c r="J232" s="233">
        <v>3</v>
      </c>
      <c r="K232" s="186"/>
      <c r="L232" s="186"/>
      <c r="M232" s="185"/>
      <c r="N232" s="185"/>
      <c r="O232" s="185"/>
      <c r="P232" s="185" t="s">
        <v>52</v>
      </c>
      <c r="Q232" s="185"/>
      <c r="R232" s="187"/>
    </row>
    <row r="233" spans="1:18" ht="18.95" customHeight="1" x14ac:dyDescent="0.2">
      <c r="A233" s="183"/>
      <c r="B233" s="191" t="s">
        <v>207</v>
      </c>
      <c r="C233" s="191"/>
      <c r="D233" s="233" t="s">
        <v>42</v>
      </c>
      <c r="E233" s="233" t="s">
        <v>42</v>
      </c>
      <c r="F233" s="233" t="s">
        <v>42</v>
      </c>
      <c r="G233" s="233" t="s">
        <v>42</v>
      </c>
      <c r="H233" s="233" t="s">
        <v>42</v>
      </c>
      <c r="I233" s="233" t="s">
        <v>42</v>
      </c>
      <c r="J233" s="233">
        <v>3</v>
      </c>
      <c r="K233" s="186"/>
      <c r="L233" s="186"/>
      <c r="M233" s="185"/>
      <c r="N233" s="185"/>
      <c r="O233" s="185"/>
      <c r="P233" s="185" t="s">
        <v>52</v>
      </c>
      <c r="Q233" s="185"/>
      <c r="R233" s="187"/>
    </row>
    <row r="234" spans="1:18" ht="18.95" customHeight="1" x14ac:dyDescent="0.2">
      <c r="A234" s="183"/>
      <c r="B234" s="191" t="s">
        <v>208</v>
      </c>
      <c r="C234" s="191"/>
      <c r="D234" s="233" t="s">
        <v>42</v>
      </c>
      <c r="E234" s="233" t="s">
        <v>42</v>
      </c>
      <c r="F234" s="233" t="s">
        <v>42</v>
      </c>
      <c r="G234" s="233" t="s">
        <v>42</v>
      </c>
      <c r="H234" s="233" t="s">
        <v>42</v>
      </c>
      <c r="I234" s="233" t="s">
        <v>42</v>
      </c>
      <c r="J234" s="233">
        <v>3</v>
      </c>
      <c r="K234" s="186"/>
      <c r="L234" s="186"/>
      <c r="M234" s="185"/>
      <c r="N234" s="185"/>
      <c r="O234" s="185"/>
      <c r="P234" s="185" t="s">
        <v>52</v>
      </c>
      <c r="Q234" s="185"/>
      <c r="R234" s="187"/>
    </row>
    <row r="235" spans="1:18" ht="18.95" customHeight="1" x14ac:dyDescent="0.2">
      <c r="A235" s="183"/>
      <c r="B235" s="191"/>
      <c r="C235" s="191"/>
      <c r="D235" s="233"/>
      <c r="E235" s="233"/>
      <c r="F235" s="233"/>
      <c r="G235" s="233"/>
      <c r="H235" s="233"/>
      <c r="I235" s="233"/>
      <c r="J235" s="233"/>
      <c r="K235" s="186"/>
      <c r="L235" s="186"/>
      <c r="M235" s="185"/>
      <c r="N235" s="185"/>
      <c r="O235" s="185"/>
      <c r="P235" s="185"/>
      <c r="Q235" s="185"/>
      <c r="R235" s="187"/>
    </row>
    <row r="236" spans="1:18" ht="18.95" customHeight="1" x14ac:dyDescent="0.2">
      <c r="A236" s="225"/>
      <c r="B236" s="226" t="s">
        <v>209</v>
      </c>
      <c r="C236" s="227"/>
      <c r="D236" s="228"/>
      <c r="E236" s="228"/>
      <c r="F236" s="228"/>
      <c r="G236" s="228"/>
      <c r="H236" s="228"/>
      <c r="I236" s="228"/>
      <c r="J236" s="228"/>
      <c r="K236" s="229"/>
      <c r="L236" s="229"/>
      <c r="M236" s="228"/>
      <c r="N236" s="228"/>
      <c r="O236" s="228"/>
      <c r="P236" s="228"/>
      <c r="Q236" s="228"/>
      <c r="R236" s="230"/>
    </row>
    <row r="237" spans="1:18" ht="18.95" customHeight="1" x14ac:dyDescent="0.2">
      <c r="A237" s="183"/>
      <c r="B237" s="191" t="s">
        <v>210</v>
      </c>
      <c r="C237" s="191"/>
      <c r="D237" s="233" t="s">
        <v>42</v>
      </c>
      <c r="E237" s="233" t="s">
        <v>42</v>
      </c>
      <c r="F237" s="233" t="s">
        <v>42</v>
      </c>
      <c r="G237" s="233" t="s">
        <v>42</v>
      </c>
      <c r="H237" s="233" t="s">
        <v>42</v>
      </c>
      <c r="I237" s="233">
        <v>16</v>
      </c>
      <c r="J237" s="233">
        <v>32</v>
      </c>
      <c r="K237" s="186"/>
      <c r="L237" s="186"/>
      <c r="M237" s="185"/>
      <c r="N237" s="185"/>
      <c r="O237" s="185"/>
      <c r="P237" s="185" t="s">
        <v>139</v>
      </c>
      <c r="Q237" s="185"/>
      <c r="R237" s="187"/>
    </row>
    <row r="238" spans="1:18" ht="27.75" customHeight="1" x14ac:dyDescent="0.2">
      <c r="A238" s="183"/>
      <c r="B238" s="191" t="s">
        <v>213</v>
      </c>
      <c r="C238" s="191"/>
      <c r="D238" s="233" t="s">
        <v>42</v>
      </c>
      <c r="E238" s="233" t="s">
        <v>42</v>
      </c>
      <c r="F238" s="233" t="s">
        <v>42</v>
      </c>
      <c r="G238" s="233" t="s">
        <v>42</v>
      </c>
      <c r="H238" s="233" t="s">
        <v>42</v>
      </c>
      <c r="I238" s="233" t="s">
        <v>42</v>
      </c>
      <c r="J238" s="233" t="s">
        <v>42</v>
      </c>
      <c r="K238" s="186"/>
      <c r="L238" s="186"/>
      <c r="M238" s="185"/>
      <c r="N238" s="185"/>
      <c r="O238" s="185"/>
      <c r="P238" s="185"/>
      <c r="Q238" s="185"/>
      <c r="R238" s="187"/>
    </row>
    <row r="239" spans="1:18" ht="18.95" customHeight="1" x14ac:dyDescent="0.2">
      <c r="A239" s="183"/>
      <c r="B239" s="191"/>
      <c r="C239" s="191"/>
      <c r="D239" s="233"/>
      <c r="E239" s="233"/>
      <c r="F239" s="233"/>
      <c r="G239" s="233"/>
      <c r="H239" s="233"/>
      <c r="I239" s="233"/>
      <c r="J239" s="233"/>
      <c r="K239" s="186"/>
      <c r="L239" s="186"/>
      <c r="M239" s="185"/>
      <c r="N239" s="185"/>
      <c r="O239" s="185"/>
      <c r="P239" s="185"/>
      <c r="Q239" s="185"/>
      <c r="R239" s="187"/>
    </row>
    <row r="240" spans="1:18" ht="18.95" customHeight="1" x14ac:dyDescent="0.2">
      <c r="A240" s="225"/>
      <c r="B240" s="226" t="s">
        <v>211</v>
      </c>
      <c r="C240" s="227"/>
      <c r="D240" s="228"/>
      <c r="E240" s="228"/>
      <c r="F240" s="228"/>
      <c r="G240" s="228"/>
      <c r="H240" s="228"/>
      <c r="I240" s="228"/>
      <c r="J240" s="228"/>
      <c r="K240" s="229"/>
      <c r="L240" s="229"/>
      <c r="M240" s="228"/>
      <c r="N240" s="228"/>
      <c r="O240" s="228"/>
      <c r="P240" s="228"/>
      <c r="Q240" s="228"/>
      <c r="R240" s="230"/>
    </row>
    <row r="241" spans="1:18" ht="18.95" customHeight="1" x14ac:dyDescent="0.2">
      <c r="A241" s="183"/>
      <c r="B241" s="191" t="s">
        <v>212</v>
      </c>
      <c r="C241" s="191"/>
      <c r="D241" s="233" t="s">
        <v>42</v>
      </c>
      <c r="E241" s="233" t="s">
        <v>42</v>
      </c>
      <c r="F241" s="233" t="s">
        <v>42</v>
      </c>
      <c r="G241" s="233" t="s">
        <v>42</v>
      </c>
      <c r="H241" s="233" t="s">
        <v>42</v>
      </c>
      <c r="I241" s="233" t="s">
        <v>42</v>
      </c>
      <c r="J241" s="233">
        <v>48</v>
      </c>
      <c r="K241" s="186"/>
      <c r="L241" s="186"/>
      <c r="M241" s="185"/>
      <c r="N241" s="185"/>
      <c r="O241" s="185"/>
      <c r="P241" s="185" t="s">
        <v>52</v>
      </c>
      <c r="Q241" s="185"/>
      <c r="R241" s="187"/>
    </row>
    <row r="242" spans="1:18" ht="18.95" customHeight="1" x14ac:dyDescent="0.2">
      <c r="A242" s="183"/>
      <c r="B242" s="191"/>
      <c r="C242" s="191"/>
      <c r="D242" s="233"/>
      <c r="E242" s="233"/>
      <c r="F242" s="233"/>
      <c r="G242" s="233"/>
      <c r="H242" s="233"/>
      <c r="I242" s="233"/>
      <c r="J242" s="233"/>
      <c r="K242" s="186"/>
      <c r="L242" s="186"/>
      <c r="M242" s="185"/>
      <c r="N242" s="185"/>
      <c r="O242" s="185"/>
      <c r="P242" s="185"/>
      <c r="Q242" s="185"/>
      <c r="R242" s="187"/>
    </row>
    <row r="243" spans="1:18" s="188" customFormat="1" ht="18.95" customHeight="1" thickBot="1" x14ac:dyDescent="0.25">
      <c r="A243" s="183"/>
      <c r="B243" s="191"/>
      <c r="C243" s="191"/>
      <c r="D243" s="185"/>
      <c r="E243" s="185"/>
      <c r="F243" s="185"/>
      <c r="G243" s="185"/>
      <c r="H243" s="185"/>
      <c r="I243" s="185"/>
      <c r="J243" s="185"/>
      <c r="K243" s="186"/>
      <c r="L243" s="186"/>
      <c r="M243" s="185"/>
      <c r="N243" s="185"/>
      <c r="O243" s="185"/>
      <c r="P243" s="185"/>
      <c r="Q243" s="185"/>
      <c r="R243" s="187"/>
    </row>
    <row r="244" spans="1:18" s="188" customFormat="1" ht="18.95" customHeight="1" x14ac:dyDescent="0.2">
      <c r="A244" s="193"/>
      <c r="B244" s="184"/>
      <c r="C244" s="185" t="s">
        <v>72</v>
      </c>
      <c r="D244" s="194">
        <f>SUM(D21:D243)</f>
        <v>6</v>
      </c>
      <c r="E244" s="194">
        <f>SUM(E21:E243)</f>
        <v>25</v>
      </c>
      <c r="F244" s="194">
        <f>SUM(F21:F243)</f>
        <v>65</v>
      </c>
      <c r="G244" s="194">
        <f>SUM(G21:G243)</f>
        <v>67</v>
      </c>
      <c r="H244" s="194">
        <f>SUM(H21:H243)</f>
        <v>20</v>
      </c>
      <c r="I244" s="194">
        <f>SUM(I21:I243)</f>
        <v>51</v>
      </c>
      <c r="J244" s="194">
        <f>SUM(J21:J243)</f>
        <v>184</v>
      </c>
      <c r="K244" s="186"/>
      <c r="L244" s="186"/>
      <c r="M244" s="185"/>
      <c r="N244" s="190"/>
      <c r="O244" s="185"/>
      <c r="P244" s="185"/>
      <c r="Q244" s="185"/>
      <c r="R244" s="187"/>
    </row>
    <row r="245" spans="1:18" s="188" customFormat="1" ht="18.95" customHeight="1" thickBot="1" x14ac:dyDescent="0.25">
      <c r="A245" s="193"/>
      <c r="B245" s="184"/>
      <c r="C245" s="185" t="s">
        <v>73</v>
      </c>
      <c r="D245" s="195">
        <f t="shared" ref="D245:H245" si="0">CEILING((D244*0.1),1)</f>
        <v>1</v>
      </c>
      <c r="E245" s="195">
        <f t="shared" si="0"/>
        <v>3</v>
      </c>
      <c r="F245" s="195">
        <f t="shared" si="0"/>
        <v>7</v>
      </c>
      <c r="G245" s="195">
        <f t="shared" si="0"/>
        <v>7</v>
      </c>
      <c r="H245" s="195">
        <f t="shared" si="0"/>
        <v>2</v>
      </c>
      <c r="I245" s="195">
        <f t="shared" ref="I245:J245" si="1">CEILING((I244*0.1),1)</f>
        <v>6</v>
      </c>
      <c r="J245" s="195">
        <f t="shared" si="1"/>
        <v>19</v>
      </c>
      <c r="K245" s="196"/>
      <c r="L245" s="186"/>
      <c r="M245" s="185"/>
      <c r="N245" s="197"/>
      <c r="O245" s="185"/>
      <c r="P245" s="185"/>
      <c r="Q245" s="185"/>
      <c r="R245" s="187"/>
    </row>
    <row r="246" spans="1:18" s="203" customFormat="1" ht="18.95" customHeight="1" x14ac:dyDescent="0.2">
      <c r="A246" s="198"/>
      <c r="B246" s="199"/>
      <c r="C246" s="200" t="s">
        <v>74</v>
      </c>
      <c r="D246" s="194">
        <f t="shared" ref="D246:J246" si="2">SUM(D244:D245)</f>
        <v>7</v>
      </c>
      <c r="E246" s="194">
        <f t="shared" si="2"/>
        <v>28</v>
      </c>
      <c r="F246" s="194">
        <f t="shared" si="2"/>
        <v>72</v>
      </c>
      <c r="G246" s="194">
        <f t="shared" si="2"/>
        <v>74</v>
      </c>
      <c r="H246" s="194">
        <f t="shared" si="2"/>
        <v>22</v>
      </c>
      <c r="I246" s="194">
        <f t="shared" si="2"/>
        <v>57</v>
      </c>
      <c r="J246" s="194">
        <f t="shared" si="2"/>
        <v>203</v>
      </c>
      <c r="K246" s="201">
        <f>SUM(K22:K243)</f>
        <v>33.200000000000003</v>
      </c>
      <c r="L246" s="202"/>
      <c r="M246" s="202"/>
      <c r="N246" s="201" t="e">
        <f>#REF!</f>
        <v>#REF!</v>
      </c>
      <c r="O246" s="200"/>
      <c r="P246" s="185"/>
      <c r="Q246" s="185"/>
      <c r="R246" s="187"/>
    </row>
    <row r="247" spans="1:18" s="203" customFormat="1" ht="18.95" customHeight="1" thickBot="1" x14ac:dyDescent="0.25">
      <c r="A247" s="198"/>
      <c r="B247" s="199"/>
      <c r="C247" s="204"/>
      <c r="D247" s="204"/>
      <c r="E247" s="204"/>
      <c r="F247" s="205"/>
      <c r="G247" s="263" t="s">
        <v>75</v>
      </c>
      <c r="H247" s="264"/>
      <c r="I247" s="206"/>
      <c r="J247" s="206"/>
      <c r="K247" s="195">
        <f>K246*0.1</f>
        <v>3.3200000000000003</v>
      </c>
      <c r="L247" s="202"/>
      <c r="M247" s="202"/>
      <c r="N247" s="200"/>
      <c r="O247" s="200"/>
      <c r="P247" s="185"/>
      <c r="Q247" s="185"/>
      <c r="R247" s="187"/>
    </row>
    <row r="248" spans="1:18" s="203" customFormat="1" ht="18.95" customHeight="1" x14ac:dyDescent="0.2">
      <c r="A248" s="198"/>
      <c r="B248" s="199"/>
      <c r="C248" s="204"/>
      <c r="D248" s="204"/>
      <c r="E248" s="204"/>
      <c r="G248" s="265" t="s">
        <v>76</v>
      </c>
      <c r="H248" s="266"/>
      <c r="I248" s="207"/>
      <c r="J248" s="207"/>
      <c r="K248" s="201">
        <f>SUM(K246:K247)</f>
        <v>36.520000000000003</v>
      </c>
      <c r="L248" s="202"/>
      <c r="M248" s="202"/>
      <c r="N248" s="200"/>
      <c r="O248" s="200"/>
      <c r="P248" s="185"/>
      <c r="Q248" s="185"/>
      <c r="R248" s="187"/>
    </row>
    <row r="249" spans="1:18" s="203" customFormat="1" ht="18.95" customHeight="1" x14ac:dyDescent="0.2">
      <c r="A249" s="198"/>
      <c r="B249" s="199"/>
      <c r="C249" s="204"/>
      <c r="D249" s="204"/>
      <c r="E249" s="204"/>
      <c r="F249" s="204"/>
      <c r="G249" s="204"/>
      <c r="H249" s="204"/>
      <c r="I249" s="204"/>
      <c r="J249" s="204"/>
      <c r="K249" s="208"/>
      <c r="L249" s="202"/>
      <c r="M249" s="202"/>
      <c r="N249" s="200"/>
      <c r="O249" s="200"/>
      <c r="P249" s="185"/>
      <c r="Q249" s="185"/>
      <c r="R249" s="187"/>
    </row>
    <row r="250" spans="1:18" s="188" customFormat="1" ht="18.95" customHeight="1" x14ac:dyDescent="0.2">
      <c r="A250" s="193"/>
      <c r="B250" s="184"/>
      <c r="C250" s="185"/>
      <c r="D250" s="204"/>
      <c r="E250" s="204"/>
      <c r="F250" s="204"/>
      <c r="G250" s="204"/>
      <c r="H250" s="204"/>
      <c r="I250" s="204"/>
      <c r="J250" s="204"/>
      <c r="K250" s="186"/>
      <c r="L250" s="186"/>
      <c r="M250" s="185"/>
      <c r="N250" s="185"/>
      <c r="O250" s="185"/>
      <c r="P250" s="185"/>
      <c r="Q250" s="185"/>
      <c r="R250" s="187"/>
    </row>
    <row r="251" spans="1:18" s="188" customFormat="1" ht="18.95" customHeight="1" x14ac:dyDescent="0.2">
      <c r="A251" s="267" t="s">
        <v>77</v>
      </c>
      <c r="B251" s="268"/>
      <c r="C251" s="185"/>
      <c r="D251" s="185"/>
      <c r="E251" s="185"/>
      <c r="F251" s="185"/>
      <c r="G251" s="185"/>
      <c r="H251" s="185"/>
      <c r="I251" s="185"/>
      <c r="J251" s="185"/>
      <c r="K251" s="186"/>
      <c r="L251" s="186"/>
      <c r="M251" s="185"/>
      <c r="N251" s="185"/>
      <c r="O251" s="185"/>
      <c r="P251" s="185"/>
      <c r="Q251" s="185"/>
      <c r="R251" s="187"/>
    </row>
    <row r="252" spans="1:18" s="188" customFormat="1" ht="18.95" customHeight="1" x14ac:dyDescent="0.2">
      <c r="A252" s="183" t="s">
        <v>78</v>
      </c>
      <c r="B252" s="192" t="s">
        <v>79</v>
      </c>
      <c r="C252" s="189" t="s">
        <v>80</v>
      </c>
      <c r="D252" s="269" t="s">
        <v>81</v>
      </c>
      <c r="E252" s="270"/>
      <c r="F252" s="270"/>
      <c r="G252" s="271"/>
      <c r="H252" s="185"/>
      <c r="I252" s="185"/>
      <c r="J252" s="185"/>
      <c r="K252" s="186"/>
      <c r="L252" s="186"/>
      <c r="M252" s="272" t="s">
        <v>82</v>
      </c>
      <c r="N252" s="273"/>
      <c r="O252" s="273"/>
      <c r="P252" s="273"/>
      <c r="Q252" s="273"/>
      <c r="R252" s="274"/>
    </row>
    <row r="253" spans="1:18" s="188" customFormat="1" ht="18.95" customHeight="1" x14ac:dyDescent="0.2">
      <c r="A253" s="183">
        <v>1</v>
      </c>
      <c r="B253" s="184"/>
      <c r="C253" s="185"/>
      <c r="D253" s="269"/>
      <c r="E253" s="270"/>
      <c r="F253" s="270"/>
      <c r="G253" s="271"/>
      <c r="H253" s="185"/>
      <c r="I253" s="185"/>
      <c r="J253" s="185"/>
      <c r="K253" s="186"/>
      <c r="L253" s="186"/>
      <c r="M253" s="275"/>
      <c r="N253" s="276"/>
      <c r="O253" s="276"/>
      <c r="P253" s="276"/>
      <c r="Q253" s="276"/>
      <c r="R253" s="277"/>
    </row>
    <row r="254" spans="1:18" s="188" customFormat="1" ht="18.95" customHeight="1" x14ac:dyDescent="0.2">
      <c r="A254" s="183">
        <v>2</v>
      </c>
      <c r="B254" s="184"/>
      <c r="C254" s="185"/>
      <c r="D254" s="269"/>
      <c r="E254" s="270"/>
      <c r="F254" s="270"/>
      <c r="G254" s="271"/>
      <c r="H254" s="185"/>
      <c r="I254" s="185"/>
      <c r="J254" s="185"/>
      <c r="K254" s="186"/>
      <c r="L254" s="186"/>
      <c r="M254" s="275"/>
      <c r="N254" s="276"/>
      <c r="O254" s="276"/>
      <c r="P254" s="276"/>
      <c r="Q254" s="276"/>
      <c r="R254" s="277"/>
    </row>
    <row r="255" spans="1:18" s="188" customFormat="1" ht="18.95" customHeight="1" x14ac:dyDescent="0.2">
      <c r="A255" s="183">
        <v>3</v>
      </c>
      <c r="B255" s="184"/>
      <c r="C255" s="185"/>
      <c r="D255" s="269"/>
      <c r="E255" s="270"/>
      <c r="F255" s="270"/>
      <c r="G255" s="271"/>
      <c r="H255" s="185"/>
      <c r="I255" s="185"/>
      <c r="J255" s="185"/>
      <c r="K255" s="186"/>
      <c r="L255" s="186"/>
      <c r="M255" s="275"/>
      <c r="N255" s="276"/>
      <c r="O255" s="276"/>
      <c r="P255" s="276"/>
      <c r="Q255" s="276"/>
      <c r="R255" s="277"/>
    </row>
    <row r="256" spans="1:18" s="188" customFormat="1" ht="18.95" customHeight="1" x14ac:dyDescent="0.2">
      <c r="A256" s="183">
        <v>4</v>
      </c>
      <c r="B256" s="184"/>
      <c r="C256" s="185"/>
      <c r="D256" s="269"/>
      <c r="E256" s="270"/>
      <c r="F256" s="270"/>
      <c r="G256" s="271"/>
      <c r="H256" s="185"/>
      <c r="I256" s="185"/>
      <c r="J256" s="185"/>
      <c r="K256" s="186"/>
      <c r="L256" s="186"/>
      <c r="M256" s="275"/>
      <c r="N256" s="276"/>
      <c r="O256" s="276"/>
      <c r="P256" s="276"/>
      <c r="Q256" s="276"/>
      <c r="R256" s="277"/>
    </row>
    <row r="257" spans="1:18" s="188" customFormat="1" ht="18.95" customHeight="1" x14ac:dyDescent="0.2">
      <c r="A257" s="183">
        <v>5</v>
      </c>
      <c r="B257" s="184"/>
      <c r="C257" s="185"/>
      <c r="D257" s="269"/>
      <c r="E257" s="270"/>
      <c r="F257" s="270"/>
      <c r="G257" s="271"/>
      <c r="H257" s="185"/>
      <c r="I257" s="185"/>
      <c r="J257" s="185"/>
      <c r="K257" s="186"/>
      <c r="L257" s="186"/>
      <c r="M257" s="275"/>
      <c r="N257" s="276"/>
      <c r="O257" s="276"/>
      <c r="P257" s="276"/>
      <c r="Q257" s="276"/>
      <c r="R257" s="277"/>
    </row>
    <row r="258" spans="1:18" s="188" customFormat="1" ht="18.95" customHeight="1" x14ac:dyDescent="0.2">
      <c r="A258" s="183">
        <v>6</v>
      </c>
      <c r="B258" s="184"/>
      <c r="C258" s="185"/>
      <c r="D258" s="269"/>
      <c r="E258" s="270"/>
      <c r="F258" s="270"/>
      <c r="G258" s="271"/>
      <c r="H258" s="185"/>
      <c r="I258" s="185"/>
      <c r="J258" s="185"/>
      <c r="K258" s="186"/>
      <c r="L258" s="186"/>
      <c r="M258" s="275"/>
      <c r="N258" s="276"/>
      <c r="O258" s="276"/>
      <c r="P258" s="276"/>
      <c r="Q258" s="276"/>
      <c r="R258" s="277"/>
    </row>
    <row r="259" spans="1:18" s="188" customFormat="1" ht="18.95" customHeight="1" x14ac:dyDescent="0.2">
      <c r="A259" s="183">
        <v>7</v>
      </c>
      <c r="B259" s="184"/>
      <c r="C259" s="185"/>
      <c r="D259" s="269"/>
      <c r="E259" s="270"/>
      <c r="F259" s="270"/>
      <c r="G259" s="271"/>
      <c r="H259" s="185"/>
      <c r="I259" s="185"/>
      <c r="J259" s="185"/>
      <c r="K259" s="186"/>
      <c r="L259" s="186"/>
      <c r="M259" s="275"/>
      <c r="N259" s="276"/>
      <c r="O259" s="276"/>
      <c r="P259" s="276"/>
      <c r="Q259" s="276"/>
      <c r="R259" s="277"/>
    </row>
    <row r="260" spans="1:18" s="188" customFormat="1" ht="18.95" customHeight="1" x14ac:dyDescent="0.2">
      <c r="A260" s="183">
        <v>8</v>
      </c>
      <c r="B260" s="184"/>
      <c r="C260" s="185"/>
      <c r="D260" s="269"/>
      <c r="E260" s="270"/>
      <c r="F260" s="270"/>
      <c r="G260" s="271"/>
      <c r="H260" s="185"/>
      <c r="I260" s="185"/>
      <c r="J260" s="185"/>
      <c r="K260" s="186"/>
      <c r="L260" s="186"/>
      <c r="M260" s="275"/>
      <c r="N260" s="276"/>
      <c r="O260" s="276"/>
      <c r="P260" s="276"/>
      <c r="Q260" s="276"/>
      <c r="R260" s="277"/>
    </row>
    <row r="261" spans="1:18" s="188" customFormat="1" ht="18.95" customHeight="1" x14ac:dyDescent="0.2">
      <c r="A261" s="183">
        <v>9</v>
      </c>
      <c r="B261" s="184"/>
      <c r="C261" s="185"/>
      <c r="D261" s="269"/>
      <c r="E261" s="270"/>
      <c r="F261" s="270"/>
      <c r="G261" s="271"/>
      <c r="H261" s="185"/>
      <c r="I261" s="185"/>
      <c r="J261" s="185"/>
      <c r="K261" s="186"/>
      <c r="L261" s="186"/>
      <c r="M261" s="275"/>
      <c r="N261" s="276"/>
      <c r="O261" s="276"/>
      <c r="P261" s="276"/>
      <c r="Q261" s="276"/>
      <c r="R261" s="277"/>
    </row>
    <row r="262" spans="1:18" s="188" customFormat="1" ht="18.95" customHeight="1" x14ac:dyDescent="0.2">
      <c r="A262" s="183">
        <v>10</v>
      </c>
      <c r="B262" s="184"/>
      <c r="C262" s="185"/>
      <c r="D262" s="269"/>
      <c r="E262" s="270"/>
      <c r="F262" s="270"/>
      <c r="G262" s="271"/>
      <c r="H262" s="185"/>
      <c r="I262" s="185"/>
      <c r="J262" s="185"/>
      <c r="K262" s="186"/>
      <c r="L262" s="186"/>
      <c r="M262" s="275"/>
      <c r="N262" s="276"/>
      <c r="O262" s="276"/>
      <c r="P262" s="276"/>
      <c r="Q262" s="276"/>
      <c r="R262" s="277"/>
    </row>
    <row r="263" spans="1:18" s="188" customFormat="1" ht="18.95" customHeight="1" x14ac:dyDescent="0.2">
      <c r="A263" s="183">
        <v>11</v>
      </c>
      <c r="B263" s="184"/>
      <c r="C263" s="185"/>
      <c r="D263" s="269"/>
      <c r="E263" s="270"/>
      <c r="F263" s="270"/>
      <c r="G263" s="271"/>
      <c r="H263" s="185"/>
      <c r="I263" s="185"/>
      <c r="J263" s="185"/>
      <c r="K263" s="186"/>
      <c r="L263" s="186"/>
      <c r="M263" s="275"/>
      <c r="N263" s="276"/>
      <c r="O263" s="276"/>
      <c r="P263" s="276"/>
      <c r="Q263" s="276"/>
      <c r="R263" s="277"/>
    </row>
    <row r="264" spans="1:18" s="188" customFormat="1" ht="18.95" customHeight="1" x14ac:dyDescent="0.2">
      <c r="A264" s="183">
        <v>12</v>
      </c>
      <c r="B264" s="184"/>
      <c r="C264" s="185"/>
      <c r="D264" s="269"/>
      <c r="E264" s="270"/>
      <c r="F264" s="270"/>
      <c r="G264" s="271"/>
      <c r="H264" s="185"/>
      <c r="I264" s="185"/>
      <c r="J264" s="185"/>
      <c r="K264" s="186"/>
      <c r="L264" s="186"/>
      <c r="M264" s="275"/>
      <c r="N264" s="276"/>
      <c r="O264" s="276"/>
      <c r="P264" s="276"/>
      <c r="Q264" s="276"/>
      <c r="R264" s="277"/>
    </row>
    <row r="265" spans="1:18" s="188" customFormat="1" ht="18.95" customHeight="1" x14ac:dyDescent="0.2">
      <c r="A265" s="183">
        <v>13</v>
      </c>
      <c r="B265" s="184"/>
      <c r="C265" s="185"/>
      <c r="D265" s="269"/>
      <c r="E265" s="278"/>
      <c r="F265" s="278"/>
      <c r="G265" s="279"/>
      <c r="H265" s="185"/>
      <c r="I265" s="185"/>
      <c r="J265" s="185"/>
      <c r="K265" s="186"/>
      <c r="L265" s="186"/>
      <c r="M265" s="275"/>
      <c r="N265" s="260"/>
      <c r="O265" s="260"/>
      <c r="P265" s="260"/>
      <c r="Q265" s="260"/>
      <c r="R265" s="280"/>
    </row>
    <row r="266" spans="1:18" s="188" customFormat="1" ht="18.95" customHeight="1" x14ac:dyDescent="0.2">
      <c r="A266" s="183">
        <v>14</v>
      </c>
      <c r="B266" s="184"/>
      <c r="C266" s="185"/>
      <c r="D266" s="269"/>
      <c r="E266" s="278"/>
      <c r="F266" s="278"/>
      <c r="G266" s="279"/>
      <c r="H266" s="185"/>
      <c r="I266" s="185"/>
      <c r="J266" s="185"/>
      <c r="K266" s="186"/>
      <c r="L266" s="186"/>
      <c r="M266" s="275"/>
      <c r="N266" s="260"/>
      <c r="O266" s="260"/>
      <c r="P266" s="260"/>
      <c r="Q266" s="260"/>
      <c r="R266" s="280"/>
    </row>
    <row r="267" spans="1:18" s="188" customFormat="1" ht="18.95" customHeight="1" x14ac:dyDescent="0.2">
      <c r="A267" s="183">
        <v>15</v>
      </c>
      <c r="B267" s="184"/>
      <c r="C267" s="185"/>
      <c r="D267" s="269"/>
      <c r="E267" s="278"/>
      <c r="F267" s="278"/>
      <c r="G267" s="279"/>
      <c r="H267" s="185"/>
      <c r="I267" s="185"/>
      <c r="J267" s="185"/>
      <c r="K267" s="186"/>
      <c r="L267" s="186"/>
      <c r="M267" s="275"/>
      <c r="N267" s="260"/>
      <c r="O267" s="260"/>
      <c r="P267" s="260"/>
      <c r="Q267" s="260"/>
      <c r="R267" s="280"/>
    </row>
    <row r="268" spans="1:18" s="188" customFormat="1" ht="18.95" customHeight="1" x14ac:dyDescent="0.2">
      <c r="A268" s="183">
        <v>16</v>
      </c>
      <c r="B268" s="184"/>
      <c r="C268" s="185"/>
      <c r="D268" s="269"/>
      <c r="E268" s="278"/>
      <c r="F268" s="278"/>
      <c r="G268" s="279"/>
      <c r="H268" s="185"/>
      <c r="I268" s="185"/>
      <c r="J268" s="185"/>
      <c r="K268" s="186"/>
      <c r="L268" s="186"/>
      <c r="M268" s="275"/>
      <c r="N268" s="260"/>
      <c r="O268" s="260"/>
      <c r="P268" s="260"/>
      <c r="Q268" s="260"/>
      <c r="R268" s="280"/>
    </row>
    <row r="269" spans="1:18" s="188" customFormat="1" ht="18.95" customHeight="1" x14ac:dyDescent="0.2">
      <c r="A269" s="183">
        <v>17</v>
      </c>
      <c r="B269" s="184"/>
      <c r="C269" s="185"/>
      <c r="D269" s="269"/>
      <c r="E269" s="278"/>
      <c r="F269" s="278"/>
      <c r="G269" s="279"/>
      <c r="H269" s="185"/>
      <c r="I269" s="185"/>
      <c r="J269" s="185"/>
      <c r="K269" s="186"/>
      <c r="L269" s="186"/>
      <c r="M269" s="275"/>
      <c r="N269" s="260"/>
      <c r="O269" s="260"/>
      <c r="P269" s="260"/>
      <c r="Q269" s="260"/>
      <c r="R269" s="280"/>
    </row>
    <row r="270" spans="1:18" ht="18.95" customHeight="1" x14ac:dyDescent="0.2">
      <c r="A270" s="183">
        <v>18</v>
      </c>
      <c r="B270" s="184"/>
      <c r="C270" s="185"/>
      <c r="D270" s="269"/>
      <c r="E270" s="278"/>
      <c r="F270" s="278"/>
      <c r="G270" s="279"/>
      <c r="H270" s="185"/>
      <c r="I270" s="185"/>
      <c r="J270" s="185"/>
      <c r="K270" s="186"/>
      <c r="L270" s="186"/>
      <c r="M270" s="275"/>
      <c r="N270" s="260"/>
      <c r="O270" s="260"/>
      <c r="P270" s="260"/>
      <c r="Q270" s="260"/>
      <c r="R270" s="280"/>
    </row>
    <row r="271" spans="1:18" ht="18.95" customHeight="1" x14ac:dyDescent="0.2">
      <c r="A271" s="183">
        <v>19</v>
      </c>
      <c r="B271" s="184"/>
      <c r="C271" s="185"/>
      <c r="D271" s="269"/>
      <c r="E271" s="278"/>
      <c r="F271" s="278"/>
      <c r="G271" s="279"/>
      <c r="H271" s="185"/>
      <c r="I271" s="185"/>
      <c r="J271" s="185"/>
      <c r="K271" s="186"/>
      <c r="L271" s="186"/>
      <c r="M271" s="275"/>
      <c r="N271" s="260"/>
      <c r="O271" s="260"/>
      <c r="P271" s="260"/>
      <c r="Q271" s="260"/>
      <c r="R271" s="280"/>
    </row>
    <row r="272" spans="1:18" ht="18" customHeight="1" x14ac:dyDescent="0.2">
      <c r="A272" s="209">
        <v>20</v>
      </c>
      <c r="B272" s="210"/>
      <c r="C272" s="211"/>
      <c r="D272" s="281"/>
      <c r="E272" s="282"/>
      <c r="F272" s="282"/>
      <c r="G272" s="283"/>
      <c r="H272" s="211"/>
      <c r="I272" s="211"/>
      <c r="J272" s="211"/>
      <c r="K272" s="212"/>
      <c r="L272" s="212"/>
      <c r="M272" s="284"/>
      <c r="N272" s="285"/>
      <c r="O272" s="285"/>
      <c r="P272" s="285"/>
      <c r="Q272" s="285"/>
      <c r="R272" s="286"/>
    </row>
    <row r="273" spans="1:18" x14ac:dyDescent="0.2">
      <c r="A273" s="213"/>
      <c r="B273" s="214"/>
      <c r="C273" s="215"/>
      <c r="D273" s="215"/>
      <c r="E273" s="215"/>
      <c r="F273" s="215"/>
      <c r="G273" s="215"/>
      <c r="H273" s="215"/>
      <c r="I273" s="215"/>
      <c r="J273" s="215"/>
      <c r="K273" s="216"/>
      <c r="L273" s="217"/>
      <c r="M273" s="215"/>
      <c r="N273" s="215"/>
      <c r="O273" s="215"/>
      <c r="P273" s="215"/>
      <c r="Q273" s="218"/>
      <c r="R273" s="219"/>
    </row>
    <row r="274" spans="1:18" x14ac:dyDescent="0.2">
      <c r="A274" s="213"/>
      <c r="B274" s="220"/>
      <c r="C274" s="215"/>
      <c r="D274" s="215"/>
      <c r="E274" s="215"/>
      <c r="F274" s="215"/>
      <c r="G274" s="215"/>
      <c r="H274" s="215"/>
      <c r="I274" s="215"/>
      <c r="J274" s="215"/>
      <c r="K274" s="216"/>
      <c r="L274" s="217"/>
      <c r="M274" s="215"/>
      <c r="N274" s="221"/>
      <c r="O274" s="215"/>
      <c r="P274" s="215"/>
      <c r="Q274" s="218"/>
      <c r="R274" s="218"/>
    </row>
  </sheetData>
  <mergeCells count="84">
    <mergeCell ref="D268:G268"/>
    <mergeCell ref="M268:R268"/>
    <mergeCell ref="D272:G272"/>
    <mergeCell ref="M272:R272"/>
    <mergeCell ref="D269:G269"/>
    <mergeCell ref="M269:R269"/>
    <mergeCell ref="D270:G270"/>
    <mergeCell ref="M270:R270"/>
    <mergeCell ref="D271:G271"/>
    <mergeCell ref="M271:R271"/>
    <mergeCell ref="D267:G267"/>
    <mergeCell ref="M267:R267"/>
    <mergeCell ref="D262:G262"/>
    <mergeCell ref="M262:R262"/>
    <mergeCell ref="D263:G263"/>
    <mergeCell ref="M263:R263"/>
    <mergeCell ref="D264:G264"/>
    <mergeCell ref="M264:R264"/>
    <mergeCell ref="D265:G265"/>
    <mergeCell ref="M265:R265"/>
    <mergeCell ref="D266:G266"/>
    <mergeCell ref="M266:R266"/>
    <mergeCell ref="D259:G259"/>
    <mergeCell ref="M259:R259"/>
    <mergeCell ref="D260:G260"/>
    <mergeCell ref="M260:R260"/>
    <mergeCell ref="D261:G261"/>
    <mergeCell ref="M261:R261"/>
    <mergeCell ref="D256:G256"/>
    <mergeCell ref="M256:R256"/>
    <mergeCell ref="D257:G257"/>
    <mergeCell ref="M257:R257"/>
    <mergeCell ref="D258:G258"/>
    <mergeCell ref="M258:R258"/>
    <mergeCell ref="D253:G253"/>
    <mergeCell ref="M253:R253"/>
    <mergeCell ref="D254:G254"/>
    <mergeCell ref="M254:R254"/>
    <mergeCell ref="D255:G255"/>
    <mergeCell ref="M255:R255"/>
    <mergeCell ref="G247:H247"/>
    <mergeCell ref="G248:H248"/>
    <mergeCell ref="A251:B251"/>
    <mergeCell ref="D252:G252"/>
    <mergeCell ref="M252:R252"/>
    <mergeCell ref="O1:O5"/>
    <mergeCell ref="P1:P5"/>
    <mergeCell ref="Q1:Q5"/>
    <mergeCell ref="R1:R5"/>
    <mergeCell ref="K1:K5"/>
    <mergeCell ref="L1:L5"/>
    <mergeCell ref="M1:M5"/>
    <mergeCell ref="N1:N5"/>
    <mergeCell ref="I1:I5"/>
    <mergeCell ref="J1:J5"/>
    <mergeCell ref="A1:C1"/>
    <mergeCell ref="D1:D5"/>
    <mergeCell ref="E1:E5"/>
    <mergeCell ref="F1:F5"/>
    <mergeCell ref="G1:G5"/>
    <mergeCell ref="H1:H5"/>
    <mergeCell ref="B11:C11"/>
    <mergeCell ref="A2:C2"/>
    <mergeCell ref="A3:C3"/>
    <mergeCell ref="A4:C4"/>
    <mergeCell ref="A5:C5"/>
    <mergeCell ref="B7:C7"/>
    <mergeCell ref="B8:C8"/>
    <mergeCell ref="B9:C9"/>
    <mergeCell ref="B10:C10"/>
    <mergeCell ref="I14:I20"/>
    <mergeCell ref="J14:J20"/>
    <mergeCell ref="K14:K21"/>
    <mergeCell ref="L14:L21"/>
    <mergeCell ref="D14:D20"/>
    <mergeCell ref="E14:E20"/>
    <mergeCell ref="F14:F20"/>
    <mergeCell ref="G14:G20"/>
    <mergeCell ref="H14:H20"/>
    <mergeCell ref="M14:M21"/>
    <mergeCell ref="O14:O21"/>
    <mergeCell ref="P14:P21"/>
    <mergeCell ref="Q14:Q21"/>
    <mergeCell ref="R14:R21"/>
  </mergeCells>
  <phoneticPr fontId="13" type="noConversion"/>
  <pageMargins left="0.7" right="0.7" top="0.75" bottom="0.75" header="0.3" footer="0.3"/>
  <pageSetup paperSize="9" scale="38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51CA-2CAD-41D7-9DF9-C7C916CAAA97}">
  <sheetPr>
    <pageSetUpPr fitToPage="1"/>
  </sheetPr>
  <dimension ref="A1:AP26"/>
  <sheetViews>
    <sheetView showGridLines="0" view="pageBreakPreview" zoomScale="80" zoomScaleNormal="80" zoomScaleSheetLayoutView="80" workbookViewId="0">
      <pane ySplit="15" topLeftCell="A16" activePane="bottomLeft" state="frozen"/>
      <selection pane="bottomLeft" activeCell="B30" sqref="B30"/>
    </sheetView>
  </sheetViews>
  <sheetFormatPr defaultRowHeight="14.25" x14ac:dyDescent="0.2"/>
  <cols>
    <col min="1" max="1" width="51.85546875" style="1" customWidth="1"/>
    <col min="2" max="2" width="13.7109375" style="1" bestFit="1" customWidth="1"/>
    <col min="3" max="3" width="36.5703125" style="1" customWidth="1"/>
    <col min="4" max="38" width="3.7109375" style="1" customWidth="1"/>
    <col min="39" max="39" width="25.85546875" style="1" customWidth="1"/>
    <col min="40" max="41" width="3.7109375" style="1" customWidth="1"/>
    <col min="42" max="16384" width="9.140625" style="1"/>
  </cols>
  <sheetData>
    <row r="1" spans="1:42" s="99" customFormat="1" ht="15" x14ac:dyDescent="0.25">
      <c r="A1" s="302" t="s">
        <v>0</v>
      </c>
      <c r="B1" s="303"/>
      <c r="C1" s="304"/>
      <c r="D1" s="320"/>
      <c r="E1" s="308"/>
      <c r="F1" s="308"/>
      <c r="G1" s="308"/>
      <c r="H1" s="308"/>
      <c r="I1" s="308"/>
      <c r="J1" s="308"/>
      <c r="K1" s="311"/>
      <c r="L1" s="311"/>
      <c r="M1" s="293"/>
      <c r="N1" s="293"/>
      <c r="O1" s="293"/>
      <c r="P1" s="293"/>
      <c r="Q1" s="293"/>
      <c r="R1" s="293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8"/>
    </row>
    <row r="2" spans="1:42" s="99" customFormat="1" ht="15" x14ac:dyDescent="0.25">
      <c r="A2" s="302" t="s">
        <v>1</v>
      </c>
      <c r="B2" s="303"/>
      <c r="C2" s="304"/>
      <c r="D2" s="321"/>
      <c r="E2" s="309"/>
      <c r="F2" s="309"/>
      <c r="G2" s="309"/>
      <c r="H2" s="309"/>
      <c r="I2" s="309"/>
      <c r="J2" s="309"/>
      <c r="K2" s="312"/>
      <c r="L2" s="312"/>
      <c r="M2" s="294"/>
      <c r="N2" s="294"/>
      <c r="O2" s="294"/>
      <c r="P2" s="294"/>
      <c r="Q2" s="294"/>
      <c r="R2" s="294"/>
      <c r="AO2" s="119"/>
    </row>
    <row r="3" spans="1:42" s="99" customFormat="1" ht="15" x14ac:dyDescent="0.25">
      <c r="A3" s="302" t="s">
        <v>2</v>
      </c>
      <c r="B3" s="303"/>
      <c r="C3" s="304"/>
      <c r="D3" s="321"/>
      <c r="E3" s="309"/>
      <c r="F3" s="309"/>
      <c r="G3" s="309"/>
      <c r="H3" s="309"/>
      <c r="I3" s="309"/>
      <c r="J3" s="309"/>
      <c r="K3" s="312"/>
      <c r="L3" s="312"/>
      <c r="M3" s="294"/>
      <c r="N3" s="294"/>
      <c r="O3" s="294"/>
      <c r="P3" s="294"/>
      <c r="Q3" s="294"/>
      <c r="R3" s="294"/>
      <c r="AO3" s="119"/>
    </row>
    <row r="4" spans="1:42" s="99" customFormat="1" ht="15" x14ac:dyDescent="0.25">
      <c r="A4" s="305" t="s">
        <v>3</v>
      </c>
      <c r="B4" s="306"/>
      <c r="C4" s="307"/>
      <c r="D4" s="321"/>
      <c r="E4" s="309"/>
      <c r="F4" s="309"/>
      <c r="G4" s="309"/>
      <c r="H4" s="309"/>
      <c r="I4" s="309"/>
      <c r="J4" s="309"/>
      <c r="K4" s="312"/>
      <c r="L4" s="312"/>
      <c r="M4" s="294"/>
      <c r="N4" s="294"/>
      <c r="O4" s="294"/>
      <c r="P4" s="294"/>
      <c r="Q4" s="294"/>
      <c r="R4" s="294"/>
      <c r="AO4" s="119"/>
    </row>
    <row r="5" spans="1:42" s="99" customFormat="1" ht="15" x14ac:dyDescent="0.25">
      <c r="A5" s="305" t="s">
        <v>4</v>
      </c>
      <c r="B5" s="306"/>
      <c r="C5" s="307"/>
      <c r="D5" s="322"/>
      <c r="E5" s="310"/>
      <c r="F5" s="310"/>
      <c r="G5" s="310"/>
      <c r="H5" s="310"/>
      <c r="I5" s="310"/>
      <c r="J5" s="310"/>
      <c r="K5" s="313"/>
      <c r="L5" s="313"/>
      <c r="M5" s="295"/>
      <c r="N5" s="295"/>
      <c r="O5" s="295"/>
      <c r="P5" s="295"/>
      <c r="Q5" s="295"/>
      <c r="R5" s="295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20"/>
    </row>
    <row r="6" spans="1:42" s="99" customFormat="1" ht="15" x14ac:dyDescent="0.25">
      <c r="A6" s="101"/>
      <c r="B6" s="5"/>
      <c r="C6" s="5"/>
      <c r="D6" s="107"/>
      <c r="E6" s="107"/>
      <c r="F6" s="107"/>
      <c r="G6" s="107"/>
      <c r="H6" s="107"/>
      <c r="I6" s="107"/>
      <c r="J6" s="107"/>
      <c r="K6" s="108"/>
      <c r="L6" s="108"/>
      <c r="M6" s="109"/>
      <c r="N6" s="109"/>
      <c r="O6" s="109"/>
      <c r="P6" s="109"/>
      <c r="Q6" s="109"/>
      <c r="R6" s="103"/>
      <c r="AO6" s="117"/>
    </row>
    <row r="7" spans="1:42" s="99" customFormat="1" ht="15" x14ac:dyDescent="0.2">
      <c r="A7" s="3" t="s">
        <v>5</v>
      </c>
      <c r="B7" s="296" t="s">
        <v>214</v>
      </c>
      <c r="C7" s="297"/>
    </row>
    <row r="8" spans="1:42" s="99" customFormat="1" ht="15" x14ac:dyDescent="0.2">
      <c r="A8" s="3" t="s">
        <v>7</v>
      </c>
      <c r="B8" s="296">
        <v>2605577</v>
      </c>
      <c r="C8" s="29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42" s="99" customFormat="1" ht="15" customHeight="1" x14ac:dyDescent="0.2">
      <c r="A9" s="3" t="s">
        <v>8</v>
      </c>
      <c r="B9" s="296" t="s">
        <v>216</v>
      </c>
      <c r="C9" s="29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42" s="99" customFormat="1" ht="15" customHeight="1" x14ac:dyDescent="0.2">
      <c r="A10" s="3" t="s">
        <v>10</v>
      </c>
      <c r="B10" s="296" t="str">
        <f>'RK1'!B10</f>
        <v>Calculatie/Ontwerp</v>
      </c>
      <c r="C10" s="29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42" s="99" customFormat="1" ht="15" customHeight="1" x14ac:dyDescent="0.2">
      <c r="A11" s="3" t="s">
        <v>12</v>
      </c>
      <c r="B11" s="298">
        <v>46237</v>
      </c>
      <c r="C11" s="29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42" s="7" customFormat="1" ht="15" x14ac:dyDescent="0.25">
      <c r="A12" s="8"/>
      <c r="B12" s="9"/>
      <c r="C12" s="6"/>
      <c r="D12" s="6"/>
      <c r="E12" s="6"/>
      <c r="F12" s="6"/>
      <c r="G12" s="6"/>
      <c r="H12" s="6"/>
      <c r="I12" s="6"/>
    </row>
    <row r="13" spans="1:42" s="7" customFormat="1" ht="15" x14ac:dyDescent="0.25">
      <c r="A13" s="8"/>
      <c r="B13" s="8"/>
      <c r="C13" s="9"/>
      <c r="D13" s="6"/>
      <c r="E13" s="6"/>
      <c r="F13" s="6"/>
      <c r="G13" s="6"/>
      <c r="H13" s="6"/>
      <c r="I13" s="6"/>
      <c r="J13" s="6"/>
      <c r="AO13" s="126"/>
    </row>
    <row r="14" spans="1:42" s="2" customFormat="1" ht="15" x14ac:dyDescent="0.25">
      <c r="A14" s="314" t="s">
        <v>83</v>
      </c>
      <c r="B14" s="316" t="s">
        <v>123</v>
      </c>
      <c r="C14" s="318" t="s">
        <v>84</v>
      </c>
      <c r="D14" s="10"/>
      <c r="E14" s="11"/>
      <c r="F14" s="11"/>
      <c r="G14" s="11"/>
      <c r="H14" s="11"/>
      <c r="I14" s="11"/>
      <c r="J14" s="11"/>
      <c r="K14" s="11"/>
      <c r="L14" s="11"/>
      <c r="M14" s="12"/>
      <c r="N14" s="10"/>
      <c r="O14" s="11"/>
      <c r="P14" s="12"/>
      <c r="Q14" s="10"/>
      <c r="R14" s="11"/>
      <c r="S14" s="11" t="s">
        <v>85</v>
      </c>
      <c r="T14" s="11"/>
      <c r="U14" s="12"/>
      <c r="V14" s="300"/>
      <c r="W14" s="287"/>
      <c r="X14" s="287"/>
      <c r="Y14" s="287"/>
      <c r="Z14" s="291" t="s">
        <v>86</v>
      </c>
      <c r="AA14" s="291" t="s">
        <v>87</v>
      </c>
      <c r="AB14" s="291" t="s">
        <v>88</v>
      </c>
      <c r="AC14" s="291" t="s">
        <v>89</v>
      </c>
      <c r="AD14" s="291" t="s">
        <v>90</v>
      </c>
      <c r="AE14" s="291" t="s">
        <v>91</v>
      </c>
      <c r="AF14" s="291" t="s">
        <v>92</v>
      </c>
      <c r="AG14" s="291" t="s">
        <v>93</v>
      </c>
      <c r="AH14" s="291" t="s">
        <v>94</v>
      </c>
      <c r="AI14" s="291" t="s">
        <v>222</v>
      </c>
      <c r="AJ14" s="291" t="s">
        <v>95</v>
      </c>
      <c r="AK14" s="291" t="s">
        <v>96</v>
      </c>
      <c r="AL14" s="289" t="s">
        <v>97</v>
      </c>
      <c r="AM14" s="13"/>
      <c r="AN14" s="14"/>
      <c r="AO14" s="14"/>
    </row>
    <row r="15" spans="1:42" s="2" customFormat="1" ht="209.25" customHeight="1" x14ac:dyDescent="0.25">
      <c r="A15" s="315"/>
      <c r="B15" s="317"/>
      <c r="C15" s="319"/>
      <c r="D15" s="136" t="s">
        <v>218</v>
      </c>
      <c r="E15" s="137" t="s">
        <v>220</v>
      </c>
      <c r="F15" s="137" t="s">
        <v>219</v>
      </c>
      <c r="G15" s="137" t="s">
        <v>224</v>
      </c>
      <c r="H15" s="137" t="s">
        <v>227</v>
      </c>
      <c r="I15" s="137"/>
      <c r="J15" s="137"/>
      <c r="K15" s="137"/>
      <c r="L15" s="137"/>
      <c r="M15" s="138"/>
      <c r="N15" s="136" t="s">
        <v>98</v>
      </c>
      <c r="O15" s="137" t="s">
        <v>99</v>
      </c>
      <c r="P15" s="138"/>
      <c r="Q15" s="136"/>
      <c r="R15" s="137"/>
      <c r="S15" s="137"/>
      <c r="T15" s="137"/>
      <c r="U15" s="138"/>
      <c r="V15" s="301"/>
      <c r="W15" s="288"/>
      <c r="X15" s="288"/>
      <c r="Y15" s="288"/>
      <c r="Z15" s="292"/>
      <c r="AA15" s="292"/>
      <c r="AB15" s="292"/>
      <c r="AC15" s="292"/>
      <c r="AD15" s="292"/>
      <c r="AE15" s="292"/>
      <c r="AF15" s="292"/>
      <c r="AG15" s="292"/>
      <c r="AH15" s="292"/>
      <c r="AI15" s="292"/>
      <c r="AJ15" s="292"/>
      <c r="AK15" s="292"/>
      <c r="AL15" s="290"/>
      <c r="AM15" s="139" t="s">
        <v>100</v>
      </c>
      <c r="AN15" s="140" t="s">
        <v>101</v>
      </c>
      <c r="AO15" s="140" t="s">
        <v>102</v>
      </c>
      <c r="AP15" s="15"/>
    </row>
    <row r="16" spans="1:42" x14ac:dyDescent="0.2">
      <c r="A16" s="127" t="s">
        <v>217</v>
      </c>
      <c r="B16" s="128">
        <v>18</v>
      </c>
      <c r="C16" s="129"/>
      <c r="D16" s="130">
        <v>18</v>
      </c>
      <c r="E16" s="128">
        <v>18</v>
      </c>
      <c r="F16" s="128">
        <v>18</v>
      </c>
      <c r="G16" s="128"/>
      <c r="H16" s="128"/>
      <c r="I16" s="128"/>
      <c r="J16" s="128"/>
      <c r="K16" s="128"/>
      <c r="L16" s="128"/>
      <c r="M16" s="131"/>
      <c r="N16" s="132"/>
      <c r="O16" s="128"/>
      <c r="P16" s="131"/>
      <c r="Q16" s="130"/>
      <c r="R16" s="128"/>
      <c r="S16" s="128"/>
      <c r="T16" s="128"/>
      <c r="U16" s="131"/>
      <c r="V16" s="130"/>
      <c r="W16" s="128"/>
      <c r="X16" s="128"/>
      <c r="Y16" s="128"/>
      <c r="Z16" s="128"/>
      <c r="AA16" s="128">
        <v>18</v>
      </c>
      <c r="AB16" s="128"/>
      <c r="AC16" s="128">
        <v>18</v>
      </c>
      <c r="AD16" s="128">
        <v>1</v>
      </c>
      <c r="AE16" s="128"/>
      <c r="AF16" s="128"/>
      <c r="AG16" s="128"/>
      <c r="AH16" s="133"/>
      <c r="AI16" s="133"/>
      <c r="AJ16" s="128"/>
      <c r="AK16" s="133"/>
      <c r="AL16" s="134"/>
      <c r="AM16" s="135"/>
      <c r="AN16" s="128"/>
      <c r="AO16" s="131"/>
    </row>
    <row r="17" spans="1:41" x14ac:dyDescent="0.2">
      <c r="A17" s="16" t="s">
        <v>221</v>
      </c>
      <c r="B17" s="17">
        <v>19</v>
      </c>
      <c r="C17" s="18"/>
      <c r="D17" s="19">
        <v>19</v>
      </c>
      <c r="E17" s="17">
        <v>19</v>
      </c>
      <c r="F17" s="17">
        <v>19</v>
      </c>
      <c r="G17" s="17"/>
      <c r="H17" s="17"/>
      <c r="I17" s="17"/>
      <c r="J17" s="17"/>
      <c r="K17" s="17"/>
      <c r="L17" s="17"/>
      <c r="M17" s="20"/>
      <c r="N17" s="21"/>
      <c r="O17" s="17"/>
      <c r="P17" s="20"/>
      <c r="Q17" s="19"/>
      <c r="R17" s="17"/>
      <c r="S17" s="17"/>
      <c r="T17" s="17"/>
      <c r="U17" s="20"/>
      <c r="V17" s="19"/>
      <c r="W17" s="17"/>
      <c r="X17" s="17"/>
      <c r="Y17" s="17"/>
      <c r="Z17" s="17"/>
      <c r="AA17" s="17">
        <v>19</v>
      </c>
      <c r="AB17" s="17"/>
      <c r="AC17" s="17">
        <v>19</v>
      </c>
      <c r="AD17" s="17">
        <v>1</v>
      </c>
      <c r="AE17" s="17"/>
      <c r="AF17" s="17"/>
      <c r="AG17" s="17"/>
      <c r="AH17" s="22"/>
      <c r="AI17" s="22">
        <v>19</v>
      </c>
      <c r="AJ17" s="17"/>
      <c r="AK17" s="22"/>
      <c r="AL17" s="23"/>
      <c r="AM17" s="24"/>
      <c r="AN17" s="17"/>
      <c r="AO17" s="20"/>
    </row>
    <row r="18" spans="1:41" x14ac:dyDescent="0.2">
      <c r="A18" s="16" t="s">
        <v>223</v>
      </c>
      <c r="B18" s="17">
        <v>6</v>
      </c>
      <c r="C18" s="18"/>
      <c r="D18" s="19">
        <v>6</v>
      </c>
      <c r="E18" s="17">
        <v>6</v>
      </c>
      <c r="F18" s="17">
        <v>6</v>
      </c>
      <c r="G18" s="17">
        <v>6</v>
      </c>
      <c r="H18" s="17"/>
      <c r="I18" s="17"/>
      <c r="J18" s="17"/>
      <c r="K18" s="17"/>
      <c r="L18" s="17"/>
      <c r="M18" s="20"/>
      <c r="N18" s="21"/>
      <c r="O18" s="17"/>
      <c r="P18" s="20"/>
      <c r="Q18" s="19"/>
      <c r="R18" s="17"/>
      <c r="S18" s="17"/>
      <c r="T18" s="17"/>
      <c r="U18" s="20"/>
      <c r="V18" s="19"/>
      <c r="W18" s="17"/>
      <c r="X18" s="17"/>
      <c r="Y18" s="17"/>
      <c r="Z18" s="17"/>
      <c r="AA18" s="17">
        <v>6</v>
      </c>
      <c r="AB18" s="17"/>
      <c r="AC18" s="17">
        <v>6</v>
      </c>
      <c r="AD18" s="17">
        <v>6</v>
      </c>
      <c r="AE18" s="17"/>
      <c r="AF18" s="17"/>
      <c r="AG18" s="17"/>
      <c r="AH18" s="22"/>
      <c r="AI18" s="22"/>
      <c r="AJ18" s="17"/>
      <c r="AK18" s="22"/>
      <c r="AL18" s="23"/>
      <c r="AM18" s="24"/>
      <c r="AN18" s="17"/>
      <c r="AO18" s="20"/>
    </row>
    <row r="19" spans="1:41" x14ac:dyDescent="0.2">
      <c r="A19" s="16" t="s">
        <v>225</v>
      </c>
      <c r="B19" s="17">
        <v>12</v>
      </c>
      <c r="C19" s="18"/>
      <c r="D19" s="19">
        <v>12</v>
      </c>
      <c r="E19" s="17">
        <v>12</v>
      </c>
      <c r="F19" s="17">
        <v>12</v>
      </c>
      <c r="G19" s="17"/>
      <c r="H19" s="17"/>
      <c r="I19" s="17"/>
      <c r="J19" s="17"/>
      <c r="K19" s="17"/>
      <c r="L19" s="17"/>
      <c r="M19" s="20"/>
      <c r="N19" s="21"/>
      <c r="O19" s="17"/>
      <c r="P19" s="20"/>
      <c r="Q19" s="19"/>
      <c r="R19" s="17"/>
      <c r="S19" s="17"/>
      <c r="T19" s="17"/>
      <c r="U19" s="20"/>
      <c r="V19" s="19"/>
      <c r="W19" s="17"/>
      <c r="X19" s="17"/>
      <c r="Y19" s="17"/>
      <c r="Z19" s="17"/>
      <c r="AA19" s="17">
        <v>12</v>
      </c>
      <c r="AB19" s="17"/>
      <c r="AC19" s="17"/>
      <c r="AD19" s="17"/>
      <c r="AE19" s="17"/>
      <c r="AF19" s="17"/>
      <c r="AG19" s="17"/>
      <c r="AH19" s="22"/>
      <c r="AI19" s="22"/>
      <c r="AJ19" s="17"/>
      <c r="AK19" s="22"/>
      <c r="AL19" s="23"/>
      <c r="AM19" s="24"/>
      <c r="AN19" s="17"/>
      <c r="AO19" s="20"/>
    </row>
    <row r="20" spans="1:41" x14ac:dyDescent="0.2">
      <c r="A20" s="16" t="s">
        <v>226</v>
      </c>
      <c r="B20" s="17">
        <v>7</v>
      </c>
      <c r="C20" s="18"/>
      <c r="D20" s="19">
        <v>7</v>
      </c>
      <c r="E20" s="17">
        <v>7</v>
      </c>
      <c r="F20" s="17"/>
      <c r="G20" s="17"/>
      <c r="H20" s="17">
        <v>7</v>
      </c>
      <c r="I20" s="17"/>
      <c r="J20" s="17"/>
      <c r="K20" s="17"/>
      <c r="L20" s="17"/>
      <c r="M20" s="20"/>
      <c r="N20" s="21"/>
      <c r="O20" s="17"/>
      <c r="P20" s="20"/>
      <c r="Q20" s="19"/>
      <c r="R20" s="17"/>
      <c r="S20" s="17"/>
      <c r="T20" s="17"/>
      <c r="U20" s="20"/>
      <c r="V20" s="19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22"/>
      <c r="AI20" s="22">
        <v>7</v>
      </c>
      <c r="AJ20" s="17"/>
      <c r="AK20" s="22"/>
      <c r="AL20" s="23"/>
      <c r="AM20" s="24"/>
      <c r="AN20" s="17"/>
      <c r="AO20" s="20"/>
    </row>
    <row r="21" spans="1:41" x14ac:dyDescent="0.2">
      <c r="A21" s="16" t="s">
        <v>228</v>
      </c>
      <c r="B21" s="17">
        <v>2</v>
      </c>
      <c r="C21" s="18"/>
      <c r="D21" s="19">
        <v>2</v>
      </c>
      <c r="E21" s="17">
        <v>2</v>
      </c>
      <c r="F21" s="17">
        <v>2</v>
      </c>
      <c r="G21" s="17"/>
      <c r="H21" s="17"/>
      <c r="I21" s="17"/>
      <c r="J21" s="17"/>
      <c r="K21" s="17"/>
      <c r="L21" s="17"/>
      <c r="M21" s="20"/>
      <c r="N21" s="21"/>
      <c r="O21" s="17"/>
      <c r="P21" s="20"/>
      <c r="Q21" s="19"/>
      <c r="R21" s="17"/>
      <c r="S21" s="17"/>
      <c r="T21" s="17"/>
      <c r="U21" s="20"/>
      <c r="V21" s="19"/>
      <c r="W21" s="17"/>
      <c r="X21" s="17"/>
      <c r="Y21" s="17"/>
      <c r="Z21" s="17"/>
      <c r="AA21" s="17"/>
      <c r="AB21" s="17"/>
      <c r="AC21" s="17">
        <v>2</v>
      </c>
      <c r="AD21" s="17">
        <v>2</v>
      </c>
      <c r="AE21" s="17"/>
      <c r="AF21" s="17"/>
      <c r="AG21" s="17"/>
      <c r="AH21" s="22"/>
      <c r="AI21" s="22"/>
      <c r="AJ21" s="17"/>
      <c r="AK21" s="22"/>
      <c r="AL21" s="23"/>
      <c r="AM21" s="24"/>
      <c r="AN21" s="17"/>
      <c r="AO21" s="20"/>
    </row>
    <row r="22" spans="1:41" x14ac:dyDescent="0.2">
      <c r="A22" s="16"/>
      <c r="B22" s="17"/>
      <c r="C22" s="18"/>
      <c r="D22" s="19"/>
      <c r="E22" s="17"/>
      <c r="F22" s="17"/>
      <c r="G22" s="17"/>
      <c r="H22" s="17"/>
      <c r="I22" s="17"/>
      <c r="J22" s="17"/>
      <c r="K22" s="17"/>
      <c r="L22" s="17"/>
      <c r="M22" s="20"/>
      <c r="N22" s="21"/>
      <c r="O22" s="17"/>
      <c r="P22" s="20"/>
      <c r="Q22" s="19"/>
      <c r="R22" s="17"/>
      <c r="S22" s="17"/>
      <c r="T22" s="17"/>
      <c r="U22" s="20"/>
      <c r="V22" s="19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22"/>
      <c r="AI22" s="22"/>
      <c r="AJ22" s="17"/>
      <c r="AK22" s="22"/>
      <c r="AL22" s="23"/>
      <c r="AM22" s="24"/>
      <c r="AN22" s="17"/>
      <c r="AO22" s="20"/>
    </row>
    <row r="23" spans="1:41" x14ac:dyDescent="0.2">
      <c r="A23" s="16"/>
      <c r="B23" s="17"/>
      <c r="C23" s="18"/>
      <c r="D23" s="19"/>
      <c r="E23" s="17"/>
      <c r="F23" s="17"/>
      <c r="G23" s="17"/>
      <c r="H23" s="17"/>
      <c r="I23" s="17"/>
      <c r="J23" s="17"/>
      <c r="K23" s="17"/>
      <c r="L23" s="17"/>
      <c r="M23" s="20"/>
      <c r="N23" s="21"/>
      <c r="O23" s="17"/>
      <c r="P23" s="20"/>
      <c r="Q23" s="19"/>
      <c r="R23" s="17"/>
      <c r="S23" s="17"/>
      <c r="T23" s="17"/>
      <c r="U23" s="20"/>
      <c r="V23" s="19"/>
      <c r="W23" s="17"/>
      <c r="X23" s="17"/>
      <c r="Y23" s="25"/>
      <c r="Z23" s="17"/>
      <c r="AA23" s="17"/>
      <c r="AB23" s="17"/>
      <c r="AC23" s="17"/>
      <c r="AD23" s="17"/>
      <c r="AE23" s="17"/>
      <c r="AF23" s="17"/>
      <c r="AG23" s="17"/>
      <c r="AH23" s="22"/>
      <c r="AI23" s="22"/>
      <c r="AJ23" s="17"/>
      <c r="AK23" s="22"/>
      <c r="AL23" s="23"/>
      <c r="AM23" s="24"/>
      <c r="AN23" s="17"/>
      <c r="AO23" s="20"/>
    </row>
    <row r="24" spans="1:41" x14ac:dyDescent="0.2">
      <c r="A24" s="16"/>
      <c r="B24" s="17"/>
      <c r="C24" s="18"/>
      <c r="D24" s="19"/>
      <c r="E24" s="17"/>
      <c r="F24" s="17"/>
      <c r="G24" s="17"/>
      <c r="H24" s="17"/>
      <c r="I24" s="17"/>
      <c r="J24" s="17"/>
      <c r="K24" s="17"/>
      <c r="L24" s="17"/>
      <c r="M24" s="20"/>
      <c r="N24" s="21"/>
      <c r="O24" s="17"/>
      <c r="P24" s="20"/>
      <c r="Q24" s="19"/>
      <c r="R24" s="17"/>
      <c r="S24" s="17"/>
      <c r="T24" s="17"/>
      <c r="U24" s="20"/>
      <c r="V24" s="19"/>
      <c r="W24" s="17"/>
      <c r="X24" s="17"/>
      <c r="Y24" s="25"/>
      <c r="Z24" s="17"/>
      <c r="AA24" s="17"/>
      <c r="AB24" s="17"/>
      <c r="AC24" s="17"/>
      <c r="AD24" s="17"/>
      <c r="AE24" s="17"/>
      <c r="AF24" s="17"/>
      <c r="AG24" s="17"/>
      <c r="AH24" s="22"/>
      <c r="AI24" s="22"/>
      <c r="AJ24" s="17"/>
      <c r="AK24" s="22"/>
      <c r="AL24" s="23"/>
      <c r="AM24" s="24"/>
      <c r="AN24" s="17"/>
      <c r="AO24" s="20"/>
    </row>
    <row r="25" spans="1:41" x14ac:dyDescent="0.2">
      <c r="A25" s="124"/>
      <c r="B25" s="123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5"/>
    </row>
    <row r="26" spans="1:41" x14ac:dyDescent="0.2">
      <c r="A26" s="26"/>
      <c r="B26" s="27"/>
      <c r="C26" s="28"/>
      <c r="D26" s="29">
        <f>SUM(D16:D24)</f>
        <v>64</v>
      </c>
      <c r="E26" s="27">
        <f>SUM(E16:E24)</f>
        <v>64</v>
      </c>
      <c r="F26" s="27">
        <f>SUM(F16:F24)</f>
        <v>57</v>
      </c>
      <c r="G26" s="27">
        <f>SUM(G16:G24)</f>
        <v>6</v>
      </c>
      <c r="H26" s="27">
        <f>SUM(H16:H24)</f>
        <v>7</v>
      </c>
      <c r="I26" s="27">
        <f>SUM(I16:I24)</f>
        <v>0</v>
      </c>
      <c r="J26" s="27">
        <f>SUM(J16:J24)</f>
        <v>0</v>
      </c>
      <c r="K26" s="27">
        <f>SUM(K16:K24)</f>
        <v>0</v>
      </c>
      <c r="L26" s="27">
        <f>SUM(L16:L24)</f>
        <v>0</v>
      </c>
      <c r="M26" s="27">
        <f>SUM(M16:M24)</f>
        <v>0</v>
      </c>
      <c r="N26" s="27"/>
      <c r="O26" s="27"/>
      <c r="P26" s="30"/>
      <c r="Q26" s="29"/>
      <c r="R26" s="27"/>
      <c r="S26" s="27"/>
      <c r="T26" s="27"/>
      <c r="U26" s="30"/>
      <c r="V26" s="29"/>
      <c r="W26" s="31"/>
      <c r="X26" s="31"/>
      <c r="Y26" s="31"/>
      <c r="Z26" s="27">
        <f t="shared" ref="Z26:AG26" si="0">SUM(Z16:Z24)</f>
        <v>0</v>
      </c>
      <c r="AA26" s="27">
        <f t="shared" si="0"/>
        <v>55</v>
      </c>
      <c r="AB26" s="27">
        <f t="shared" si="0"/>
        <v>0</v>
      </c>
      <c r="AC26" s="27">
        <f t="shared" si="0"/>
        <v>45</v>
      </c>
      <c r="AD26" s="27">
        <f t="shared" si="0"/>
        <v>10</v>
      </c>
      <c r="AE26" s="27">
        <f t="shared" si="0"/>
        <v>0</v>
      </c>
      <c r="AF26" s="27">
        <f t="shared" si="0"/>
        <v>0</v>
      </c>
      <c r="AG26" s="27">
        <f t="shared" si="0"/>
        <v>0</v>
      </c>
      <c r="AH26" s="31"/>
      <c r="AI26" s="27">
        <f>SUM(AI16:AI24)</f>
        <v>26</v>
      </c>
      <c r="AJ26" s="27">
        <f>SUM(AJ16:AJ24)</f>
        <v>0</v>
      </c>
      <c r="AK26" s="27">
        <f>SUM(AK16:AK24)</f>
        <v>0</v>
      </c>
      <c r="AL26" s="30">
        <f>SUM(AL16:AL24)</f>
        <v>0</v>
      </c>
      <c r="AM26" s="32"/>
      <c r="AN26" s="33"/>
      <c r="AO26" s="33"/>
    </row>
  </sheetData>
  <mergeCells count="45">
    <mergeCell ref="A14:A15"/>
    <mergeCell ref="B14:B15"/>
    <mergeCell ref="C14:C15"/>
    <mergeCell ref="A1:C1"/>
    <mergeCell ref="D1:D5"/>
    <mergeCell ref="B7:C7"/>
    <mergeCell ref="B8:C8"/>
    <mergeCell ref="B9:C9"/>
    <mergeCell ref="L1:L5"/>
    <mergeCell ref="M1:M5"/>
    <mergeCell ref="E1:E5"/>
    <mergeCell ref="F1:F5"/>
    <mergeCell ref="G1:G5"/>
    <mergeCell ref="N1:N5"/>
    <mergeCell ref="O1:O5"/>
    <mergeCell ref="B10:C10"/>
    <mergeCell ref="B11:C11"/>
    <mergeCell ref="V14:V15"/>
    <mergeCell ref="P1:P5"/>
    <mergeCell ref="Q1:Q5"/>
    <mergeCell ref="R1:R5"/>
    <mergeCell ref="A2:C2"/>
    <mergeCell ref="A3:C3"/>
    <mergeCell ref="A4:C4"/>
    <mergeCell ref="A5:C5"/>
    <mergeCell ref="H1:H5"/>
    <mergeCell ref="I1:I5"/>
    <mergeCell ref="J1:J5"/>
    <mergeCell ref="K1:K5"/>
    <mergeCell ref="W14:W15"/>
    <mergeCell ref="AL14:AL15"/>
    <mergeCell ref="AK14:AK15"/>
    <mergeCell ref="AJ14:AJ15"/>
    <mergeCell ref="AI14:AI15"/>
    <mergeCell ref="AH14:AH15"/>
    <mergeCell ref="AG14:AG15"/>
    <mergeCell ref="Z14:Z15"/>
    <mergeCell ref="Y14:Y15"/>
    <mergeCell ref="X14:X15"/>
    <mergeCell ref="AF14:AF15"/>
    <mergeCell ref="AE14:AE15"/>
    <mergeCell ref="AD14:AD15"/>
    <mergeCell ref="AC14:AC15"/>
    <mergeCell ref="AB14:AB15"/>
    <mergeCell ref="AA14:AA15"/>
  </mergeCells>
  <phoneticPr fontId="13" type="noConversion"/>
  <pageMargins left="0.7" right="0.7" top="0.75" bottom="0.75" header="0.3" footer="0.3"/>
  <pageSetup paperSize="9" scale="5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EC1E-BA57-422A-AA7C-FA743570532F}">
  <sheetPr codeName="Blad1">
    <pageSetUpPr fitToPage="1"/>
  </sheetPr>
  <dimension ref="A1:AK57"/>
  <sheetViews>
    <sheetView showGridLines="0" view="pageBreakPreview" zoomScale="90" zoomScaleNormal="80" zoomScaleSheetLayoutView="90" workbookViewId="0">
      <selection activeCell="W4" sqref="W4"/>
    </sheetView>
  </sheetViews>
  <sheetFormatPr defaultRowHeight="15" x14ac:dyDescent="0.25"/>
  <cols>
    <col min="1" max="1" width="9.140625" style="81"/>
    <col min="2" max="2" width="9.140625" style="7"/>
    <col min="3" max="3" width="9.85546875" style="6" customWidth="1"/>
    <col min="4" max="4" width="9.140625" style="7"/>
    <col min="5" max="5" width="4.42578125" style="7" customWidth="1"/>
    <col min="6" max="6" width="9.140625" style="83"/>
    <col min="7" max="7" width="4.140625" style="7" customWidth="1"/>
    <col min="8" max="9" width="9.140625" style="7"/>
    <col min="10" max="10" width="20.7109375" style="7" customWidth="1"/>
    <col min="11" max="14" width="9.140625" style="40"/>
    <col min="15" max="15" width="10.42578125" style="7" bestFit="1" customWidth="1"/>
    <col min="16" max="16" width="9.140625" style="7" customWidth="1"/>
    <col min="17" max="17" width="13.140625" style="7" bestFit="1" customWidth="1"/>
    <col min="18" max="18" width="10.5703125" style="7" bestFit="1" customWidth="1"/>
    <col min="19" max="19" width="15.85546875" style="7" bestFit="1" customWidth="1"/>
    <col min="20" max="20" width="10.28515625" style="7" bestFit="1" customWidth="1"/>
    <col min="21" max="23" width="9.5703125" style="7" bestFit="1" customWidth="1"/>
    <col min="24" max="24" width="10.28515625" style="7" bestFit="1" customWidth="1"/>
    <col min="25" max="25" width="50.7109375" style="7" customWidth="1"/>
    <col min="26" max="16384" width="9.140625" style="7"/>
  </cols>
  <sheetData>
    <row r="1" spans="1:37" s="99" customFormat="1" x14ac:dyDescent="0.25">
      <c r="A1" s="115" t="s">
        <v>0</v>
      </c>
      <c r="B1" s="101"/>
      <c r="C1" s="101"/>
      <c r="D1" s="101"/>
      <c r="E1" s="101"/>
      <c r="F1" s="102"/>
      <c r="G1" s="107"/>
      <c r="H1" s="107"/>
      <c r="I1" s="107"/>
      <c r="J1" s="107"/>
      <c r="K1" s="116"/>
      <c r="L1" s="116"/>
      <c r="M1" s="107"/>
      <c r="N1" s="107"/>
      <c r="O1" s="107"/>
      <c r="P1" s="107"/>
      <c r="Q1" s="107"/>
      <c r="R1" s="107"/>
      <c r="S1" s="117"/>
      <c r="T1" s="117"/>
      <c r="U1" s="117"/>
      <c r="V1" s="117"/>
      <c r="W1" s="117"/>
      <c r="X1" s="117"/>
      <c r="Y1" s="118"/>
      <c r="Z1" s="121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s="99" customFormat="1" x14ac:dyDescent="0.25">
      <c r="A2" s="115" t="s">
        <v>1</v>
      </c>
      <c r="B2" s="101"/>
      <c r="C2" s="101"/>
      <c r="D2" s="101"/>
      <c r="E2" s="101"/>
      <c r="F2" s="102"/>
      <c r="G2" s="104"/>
      <c r="H2" s="104"/>
      <c r="I2" s="104"/>
      <c r="J2" s="104"/>
      <c r="K2" s="111"/>
      <c r="L2" s="111"/>
      <c r="M2" s="104"/>
      <c r="N2" s="104"/>
      <c r="O2" s="104"/>
      <c r="P2" s="104"/>
      <c r="Q2" s="104"/>
      <c r="R2" s="104"/>
      <c r="Y2" s="119"/>
      <c r="Z2" s="121"/>
    </row>
    <row r="3" spans="1:37" s="99" customFormat="1" x14ac:dyDescent="0.25">
      <c r="A3" s="115" t="s">
        <v>2</v>
      </c>
      <c r="B3" s="101"/>
      <c r="C3" s="101"/>
      <c r="D3" s="101"/>
      <c r="E3" s="101"/>
      <c r="F3" s="102"/>
      <c r="G3" s="104"/>
      <c r="H3" s="104"/>
      <c r="I3" s="104"/>
      <c r="J3" s="104"/>
      <c r="K3" s="111"/>
      <c r="L3" s="111"/>
      <c r="M3" s="104"/>
      <c r="N3" s="104"/>
      <c r="O3" s="104"/>
      <c r="P3" s="104"/>
      <c r="Q3" s="104"/>
      <c r="R3" s="104"/>
      <c r="Y3" s="119"/>
      <c r="Z3" s="121"/>
    </row>
    <row r="4" spans="1:37" s="99" customFormat="1" x14ac:dyDescent="0.25">
      <c r="A4" s="115" t="s">
        <v>3</v>
      </c>
      <c r="B4" s="101"/>
      <c r="C4" s="101"/>
      <c r="D4" s="101"/>
      <c r="E4" s="101"/>
      <c r="F4" s="102"/>
      <c r="G4" s="104"/>
      <c r="H4" s="104"/>
      <c r="I4" s="104"/>
      <c r="J4" s="104"/>
      <c r="K4" s="111"/>
      <c r="L4" s="111"/>
      <c r="M4" s="104"/>
      <c r="N4" s="104"/>
      <c r="O4" s="104"/>
      <c r="P4" s="104"/>
      <c r="Q4" s="104"/>
      <c r="R4" s="104"/>
      <c r="Y4" s="119"/>
      <c r="Z4" s="121"/>
    </row>
    <row r="5" spans="1:37" s="99" customFormat="1" x14ac:dyDescent="0.25">
      <c r="A5" s="115" t="s">
        <v>4</v>
      </c>
      <c r="B5" s="101"/>
      <c r="C5" s="101"/>
      <c r="D5" s="101"/>
      <c r="E5" s="101"/>
      <c r="F5" s="102"/>
      <c r="G5" s="105"/>
      <c r="H5" s="105"/>
      <c r="I5" s="105"/>
      <c r="J5" s="105"/>
      <c r="K5" s="112"/>
      <c r="L5" s="112"/>
      <c r="M5" s="105"/>
      <c r="N5" s="105"/>
      <c r="O5" s="105"/>
      <c r="P5" s="105"/>
      <c r="Q5" s="105"/>
      <c r="R5" s="105"/>
      <c r="S5" s="110"/>
      <c r="T5" s="110"/>
      <c r="U5" s="110"/>
      <c r="V5" s="110"/>
      <c r="W5" s="110"/>
      <c r="X5" s="110"/>
      <c r="Y5" s="120"/>
      <c r="Z5" s="121"/>
    </row>
    <row r="6" spans="1:37" s="99" customFormat="1" x14ac:dyDescent="0.25">
      <c r="A6" s="114"/>
      <c r="B6" s="113"/>
      <c r="C6" s="113"/>
      <c r="D6" s="104"/>
      <c r="G6" s="107"/>
      <c r="H6" s="107"/>
      <c r="I6" s="107"/>
      <c r="J6" s="107"/>
      <c r="K6" s="108"/>
      <c r="L6" s="108"/>
      <c r="M6" s="109"/>
      <c r="N6" s="109"/>
      <c r="O6" s="109"/>
      <c r="P6" s="109"/>
      <c r="Q6" s="109"/>
      <c r="R6" s="103"/>
    </row>
    <row r="7" spans="1:37" s="99" customFormat="1" x14ac:dyDescent="0.2">
      <c r="A7" s="100" t="s">
        <v>5</v>
      </c>
      <c r="B7" s="106"/>
      <c r="C7" s="296" t="str">
        <f>'RK1'!B7</f>
        <v>Kindcentrum Chaam</v>
      </c>
      <c r="D7" s="323"/>
      <c r="E7" s="323"/>
      <c r="F7" s="297"/>
    </row>
    <row r="8" spans="1:37" s="99" customFormat="1" ht="15" customHeight="1" x14ac:dyDescent="0.2">
      <c r="A8" s="296" t="s">
        <v>7</v>
      </c>
      <c r="B8" s="297"/>
      <c r="C8" s="296">
        <f>'RK1'!B8</f>
        <v>2605577</v>
      </c>
      <c r="D8" s="323"/>
      <c r="E8" s="323"/>
      <c r="F8" s="29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37" s="99" customFormat="1" ht="15" customHeight="1" x14ac:dyDescent="0.2">
      <c r="A9" s="296" t="s">
        <v>8</v>
      </c>
      <c r="B9" s="297"/>
      <c r="C9" s="296" t="s">
        <v>9</v>
      </c>
      <c r="D9" s="323"/>
      <c r="E9" s="323"/>
      <c r="F9" s="29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37" s="99" customFormat="1" ht="15" customHeight="1" x14ac:dyDescent="0.2">
      <c r="A10" s="296" t="s">
        <v>10</v>
      </c>
      <c r="B10" s="297"/>
      <c r="C10" s="296" t="str">
        <f>'RK1'!B10</f>
        <v>Calculatie/Ontwerp</v>
      </c>
      <c r="D10" s="323"/>
      <c r="E10" s="323"/>
      <c r="F10" s="29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37" s="99" customFormat="1" ht="15" customHeight="1" x14ac:dyDescent="0.2">
      <c r="A11" s="296" t="s">
        <v>12</v>
      </c>
      <c r="B11" s="297"/>
      <c r="C11" s="298">
        <f>'RK1'!B11</f>
        <v>46237</v>
      </c>
      <c r="D11" s="324"/>
      <c r="E11" s="324"/>
      <c r="F11" s="29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37" x14ac:dyDescent="0.25">
      <c r="A12" s="8"/>
      <c r="B12" s="8"/>
      <c r="C12" s="9"/>
      <c r="D12" s="6"/>
      <c r="E12" s="6"/>
      <c r="F12" s="6"/>
      <c r="G12" s="6"/>
      <c r="H12" s="6"/>
      <c r="I12" s="6"/>
      <c r="J12" s="6"/>
      <c r="K12" s="7"/>
      <c r="L12" s="7"/>
      <c r="M12" s="7"/>
      <c r="N12" s="7"/>
    </row>
    <row r="13" spans="1:37" x14ac:dyDescent="0.25">
      <c r="A13" s="8"/>
      <c r="B13" s="8"/>
      <c r="C13" s="9"/>
      <c r="D13" s="6"/>
      <c r="E13" s="6"/>
      <c r="F13" s="6"/>
      <c r="G13" s="6"/>
      <c r="H13" s="6"/>
      <c r="I13" s="6"/>
      <c r="J13" s="6"/>
      <c r="K13" s="7"/>
      <c r="L13" s="7"/>
      <c r="M13" s="7"/>
      <c r="N13" s="7"/>
    </row>
    <row r="14" spans="1:37" x14ac:dyDescent="0.25">
      <c r="A14" s="345" t="s">
        <v>103</v>
      </c>
      <c r="B14" s="345"/>
      <c r="C14" s="345"/>
      <c r="D14" s="345"/>
      <c r="E14" s="345"/>
      <c r="F14" s="345"/>
      <c r="G14" s="345"/>
      <c r="K14" s="7"/>
      <c r="L14" s="7"/>
      <c r="M14" s="7"/>
      <c r="N14" s="7"/>
    </row>
    <row r="15" spans="1:37" s="40" customFormat="1" ht="48" customHeight="1" x14ac:dyDescent="0.2">
      <c r="A15" s="34" t="s">
        <v>104</v>
      </c>
      <c r="B15" s="350" t="s">
        <v>6</v>
      </c>
      <c r="C15" s="351"/>
      <c r="D15" s="351"/>
      <c r="E15" s="351"/>
      <c r="F15" s="351"/>
      <c r="G15" s="351"/>
      <c r="H15" s="351"/>
      <c r="I15" s="352"/>
      <c r="J15" s="35" t="s">
        <v>105</v>
      </c>
      <c r="K15" s="36" t="s">
        <v>23</v>
      </c>
      <c r="L15" s="37" t="s">
        <v>22</v>
      </c>
      <c r="M15" s="37" t="s">
        <v>106</v>
      </c>
      <c r="N15" s="38" t="s">
        <v>107</v>
      </c>
      <c r="O15" s="36" t="s">
        <v>108</v>
      </c>
      <c r="P15" s="37" t="s">
        <v>109</v>
      </c>
      <c r="Q15" s="37" t="s">
        <v>110</v>
      </c>
      <c r="R15" s="37" t="s">
        <v>111</v>
      </c>
      <c r="S15" s="37" t="s">
        <v>112</v>
      </c>
      <c r="T15" s="37" t="s">
        <v>113</v>
      </c>
      <c r="U15" s="38" t="s">
        <v>114</v>
      </c>
      <c r="V15" s="36" t="s">
        <v>115</v>
      </c>
      <c r="W15" s="37" t="s">
        <v>116</v>
      </c>
      <c r="X15" s="38" t="s">
        <v>117</v>
      </c>
      <c r="Y15" s="39" t="s">
        <v>102</v>
      </c>
    </row>
    <row r="16" spans="1:37" x14ac:dyDescent="0.2">
      <c r="A16" s="41">
        <v>1</v>
      </c>
      <c r="B16" s="353"/>
      <c r="C16" s="354"/>
      <c r="D16" s="354"/>
      <c r="E16" s="354"/>
      <c r="F16" s="354"/>
      <c r="G16" s="354"/>
      <c r="H16" s="354"/>
      <c r="I16" s="355"/>
      <c r="J16" s="42"/>
      <c r="K16" s="43"/>
      <c r="L16" s="44"/>
      <c r="M16" s="45"/>
      <c r="N16" s="46"/>
      <c r="O16" s="96"/>
      <c r="P16" s="47">
        <f t="shared" ref="P16:P35" si="0">N16*O16</f>
        <v>0</v>
      </c>
      <c r="Q16" s="48"/>
      <c r="R16" s="48"/>
      <c r="S16" s="48"/>
      <c r="T16" s="49" t="str">
        <f>IF(K16=0,"N.v.t.",IF(K16=24,"N.v.t.",IF(K16=230,"N.v.t.",IF(K16=400,"Ja"))))</f>
        <v>N.v.t.</v>
      </c>
      <c r="U16" s="50"/>
      <c r="V16" s="51"/>
      <c r="W16" s="52"/>
      <c r="X16" s="53"/>
      <c r="Y16" s="54"/>
    </row>
    <row r="17" spans="1:25" x14ac:dyDescent="0.2">
      <c r="A17" s="55">
        <v>2</v>
      </c>
      <c r="B17" s="339"/>
      <c r="C17" s="340"/>
      <c r="D17" s="340"/>
      <c r="E17" s="340"/>
      <c r="F17" s="340"/>
      <c r="G17" s="340"/>
      <c r="H17" s="340"/>
      <c r="I17" s="341"/>
      <c r="J17" s="56"/>
      <c r="K17" s="57"/>
      <c r="L17" s="58"/>
      <c r="M17" s="59"/>
      <c r="N17" s="60"/>
      <c r="O17" s="97"/>
      <c r="P17" s="61">
        <f t="shared" si="0"/>
        <v>0</v>
      </c>
      <c r="Q17" s="62"/>
      <c r="R17" s="62"/>
      <c r="S17" s="62"/>
      <c r="T17" s="63" t="str">
        <f t="shared" ref="T17:T35" si="1">IF(K17=0,"N.v.t.",IF(K17=24,"N.v.t.",IF(K17=230,"N.v.t.",IF(K17=400,"Ja"))))</f>
        <v>N.v.t.</v>
      </c>
      <c r="U17" s="64"/>
      <c r="V17" s="65"/>
      <c r="W17" s="62"/>
      <c r="X17" s="64"/>
      <c r="Y17" s="66"/>
    </row>
    <row r="18" spans="1:25" x14ac:dyDescent="0.2">
      <c r="A18" s="55">
        <v>3</v>
      </c>
      <c r="B18" s="339"/>
      <c r="C18" s="340"/>
      <c r="D18" s="340"/>
      <c r="E18" s="340"/>
      <c r="F18" s="340"/>
      <c r="G18" s="340"/>
      <c r="H18" s="340"/>
      <c r="I18" s="341"/>
      <c r="J18" s="56"/>
      <c r="K18" s="57"/>
      <c r="L18" s="58"/>
      <c r="M18" s="59"/>
      <c r="N18" s="60">
        <f>M18/0.9</f>
        <v>0</v>
      </c>
      <c r="O18" s="97"/>
      <c r="P18" s="61">
        <f t="shared" si="0"/>
        <v>0</v>
      </c>
      <c r="Q18" s="62"/>
      <c r="R18" s="62"/>
      <c r="S18" s="62"/>
      <c r="T18" s="63" t="str">
        <f t="shared" si="1"/>
        <v>N.v.t.</v>
      </c>
      <c r="U18" s="64"/>
      <c r="V18" s="65"/>
      <c r="W18" s="62"/>
      <c r="X18" s="64"/>
      <c r="Y18" s="66"/>
    </row>
    <row r="19" spans="1:25" x14ac:dyDescent="0.2">
      <c r="A19" s="55">
        <v>4</v>
      </c>
      <c r="B19" s="339"/>
      <c r="C19" s="340"/>
      <c r="D19" s="340"/>
      <c r="E19" s="340"/>
      <c r="F19" s="340"/>
      <c r="G19" s="340"/>
      <c r="H19" s="340"/>
      <c r="I19" s="341"/>
      <c r="J19" s="56"/>
      <c r="K19" s="57"/>
      <c r="L19" s="58"/>
      <c r="M19" s="59"/>
      <c r="N19" s="60">
        <f t="shared" ref="N19:N34" si="2">M19/0.9</f>
        <v>0</v>
      </c>
      <c r="O19" s="97"/>
      <c r="P19" s="61">
        <f t="shared" si="0"/>
        <v>0</v>
      </c>
      <c r="Q19" s="62"/>
      <c r="R19" s="62"/>
      <c r="S19" s="62"/>
      <c r="T19" s="63" t="str">
        <f t="shared" si="1"/>
        <v>N.v.t.</v>
      </c>
      <c r="U19" s="64"/>
      <c r="V19" s="65"/>
      <c r="W19" s="62"/>
      <c r="X19" s="64"/>
      <c r="Y19" s="66"/>
    </row>
    <row r="20" spans="1:25" x14ac:dyDescent="0.2">
      <c r="A20" s="55">
        <v>5</v>
      </c>
      <c r="B20" s="339"/>
      <c r="C20" s="340"/>
      <c r="D20" s="340"/>
      <c r="E20" s="340"/>
      <c r="F20" s="340"/>
      <c r="G20" s="340"/>
      <c r="H20" s="340"/>
      <c r="I20" s="341"/>
      <c r="J20" s="56"/>
      <c r="K20" s="57"/>
      <c r="L20" s="58"/>
      <c r="M20" s="59"/>
      <c r="N20" s="60">
        <f t="shared" ref="N20" si="3">M20/0.9</f>
        <v>0</v>
      </c>
      <c r="O20" s="97"/>
      <c r="P20" s="61">
        <f t="shared" si="0"/>
        <v>0</v>
      </c>
      <c r="Q20" s="62"/>
      <c r="R20" s="62"/>
      <c r="S20" s="62"/>
      <c r="T20" s="63" t="str">
        <f t="shared" si="1"/>
        <v>N.v.t.</v>
      </c>
      <c r="U20" s="64"/>
      <c r="V20" s="65"/>
      <c r="W20" s="62"/>
      <c r="X20" s="64"/>
      <c r="Y20" s="66"/>
    </row>
    <row r="21" spans="1:25" x14ac:dyDescent="0.2">
      <c r="A21" s="55">
        <v>6</v>
      </c>
      <c r="B21" s="339"/>
      <c r="C21" s="340"/>
      <c r="D21" s="340"/>
      <c r="E21" s="340"/>
      <c r="F21" s="340"/>
      <c r="G21" s="340"/>
      <c r="H21" s="340"/>
      <c r="I21" s="341"/>
      <c r="J21" s="56"/>
      <c r="K21" s="57"/>
      <c r="L21" s="58"/>
      <c r="M21" s="59"/>
      <c r="N21" s="60">
        <f t="shared" si="2"/>
        <v>0</v>
      </c>
      <c r="O21" s="97"/>
      <c r="P21" s="61">
        <f t="shared" si="0"/>
        <v>0</v>
      </c>
      <c r="Q21" s="62"/>
      <c r="R21" s="62"/>
      <c r="S21" s="62"/>
      <c r="T21" s="63" t="str">
        <f t="shared" si="1"/>
        <v>N.v.t.</v>
      </c>
      <c r="U21" s="64"/>
      <c r="V21" s="65"/>
      <c r="W21" s="62"/>
      <c r="X21" s="64"/>
      <c r="Y21" s="66"/>
    </row>
    <row r="22" spans="1:25" x14ac:dyDescent="0.2">
      <c r="A22" s="55">
        <v>7</v>
      </c>
      <c r="B22" s="339"/>
      <c r="C22" s="340"/>
      <c r="D22" s="340"/>
      <c r="E22" s="340"/>
      <c r="F22" s="340"/>
      <c r="G22" s="340"/>
      <c r="H22" s="340"/>
      <c r="I22" s="341"/>
      <c r="J22" s="56"/>
      <c r="K22" s="57"/>
      <c r="L22" s="58"/>
      <c r="M22" s="59"/>
      <c r="N22" s="60">
        <f t="shared" si="2"/>
        <v>0</v>
      </c>
      <c r="O22" s="97"/>
      <c r="P22" s="61">
        <f t="shared" si="0"/>
        <v>0</v>
      </c>
      <c r="Q22" s="62"/>
      <c r="R22" s="62"/>
      <c r="S22" s="62"/>
      <c r="T22" s="63" t="str">
        <f t="shared" si="1"/>
        <v>N.v.t.</v>
      </c>
      <c r="U22" s="64"/>
      <c r="V22" s="65"/>
      <c r="W22" s="62"/>
      <c r="X22" s="64"/>
      <c r="Y22" s="66"/>
    </row>
    <row r="23" spans="1:25" x14ac:dyDescent="0.2">
      <c r="A23" s="55">
        <v>8</v>
      </c>
      <c r="B23" s="339"/>
      <c r="C23" s="340"/>
      <c r="D23" s="340"/>
      <c r="E23" s="340"/>
      <c r="F23" s="340"/>
      <c r="G23" s="340"/>
      <c r="H23" s="340"/>
      <c r="I23" s="341"/>
      <c r="J23" s="56"/>
      <c r="K23" s="57"/>
      <c r="L23" s="58"/>
      <c r="M23" s="59"/>
      <c r="N23" s="60">
        <f t="shared" si="2"/>
        <v>0</v>
      </c>
      <c r="O23" s="97"/>
      <c r="P23" s="61">
        <f t="shared" si="0"/>
        <v>0</v>
      </c>
      <c r="Q23" s="62"/>
      <c r="R23" s="62"/>
      <c r="S23" s="62"/>
      <c r="T23" s="63" t="str">
        <f t="shared" si="1"/>
        <v>N.v.t.</v>
      </c>
      <c r="U23" s="64"/>
      <c r="V23" s="65"/>
      <c r="W23" s="62"/>
      <c r="X23" s="64"/>
      <c r="Y23" s="66"/>
    </row>
    <row r="24" spans="1:25" x14ac:dyDescent="0.2">
      <c r="A24" s="55">
        <v>9</v>
      </c>
      <c r="B24" s="339"/>
      <c r="C24" s="340"/>
      <c r="D24" s="340"/>
      <c r="E24" s="340"/>
      <c r="F24" s="340"/>
      <c r="G24" s="340"/>
      <c r="H24" s="340"/>
      <c r="I24" s="341"/>
      <c r="J24" s="56"/>
      <c r="K24" s="57"/>
      <c r="L24" s="58"/>
      <c r="M24" s="59"/>
      <c r="N24" s="60">
        <f t="shared" si="2"/>
        <v>0</v>
      </c>
      <c r="O24" s="97"/>
      <c r="P24" s="61">
        <f t="shared" si="0"/>
        <v>0</v>
      </c>
      <c r="Q24" s="62"/>
      <c r="R24" s="62"/>
      <c r="S24" s="62"/>
      <c r="T24" s="63" t="str">
        <f t="shared" si="1"/>
        <v>N.v.t.</v>
      </c>
      <c r="U24" s="64"/>
      <c r="V24" s="65"/>
      <c r="W24" s="62"/>
      <c r="X24" s="64"/>
      <c r="Y24" s="66"/>
    </row>
    <row r="25" spans="1:25" x14ac:dyDescent="0.2">
      <c r="A25" s="55">
        <v>10</v>
      </c>
      <c r="B25" s="339"/>
      <c r="C25" s="340"/>
      <c r="D25" s="340"/>
      <c r="E25" s="340"/>
      <c r="F25" s="340"/>
      <c r="G25" s="340"/>
      <c r="H25" s="340"/>
      <c r="I25" s="341"/>
      <c r="J25" s="56"/>
      <c r="K25" s="57"/>
      <c r="L25" s="58"/>
      <c r="M25" s="59"/>
      <c r="N25" s="60">
        <f t="shared" si="2"/>
        <v>0</v>
      </c>
      <c r="O25" s="97"/>
      <c r="P25" s="61">
        <f t="shared" si="0"/>
        <v>0</v>
      </c>
      <c r="Q25" s="62"/>
      <c r="R25" s="62"/>
      <c r="S25" s="62"/>
      <c r="T25" s="63" t="str">
        <f t="shared" si="1"/>
        <v>N.v.t.</v>
      </c>
      <c r="U25" s="64"/>
      <c r="V25" s="65"/>
      <c r="W25" s="62"/>
      <c r="X25" s="64"/>
      <c r="Y25" s="66"/>
    </row>
    <row r="26" spans="1:25" x14ac:dyDescent="0.2">
      <c r="A26" s="55"/>
      <c r="B26" s="339"/>
      <c r="C26" s="340"/>
      <c r="D26" s="340"/>
      <c r="E26" s="340"/>
      <c r="F26" s="340"/>
      <c r="G26" s="340"/>
      <c r="H26" s="340"/>
      <c r="I26" s="341"/>
      <c r="J26" s="56"/>
      <c r="K26" s="57"/>
      <c r="L26" s="58"/>
      <c r="M26" s="59"/>
      <c r="N26" s="60">
        <f t="shared" si="2"/>
        <v>0</v>
      </c>
      <c r="O26" s="97"/>
      <c r="P26" s="61">
        <f t="shared" si="0"/>
        <v>0</v>
      </c>
      <c r="Q26" s="62"/>
      <c r="R26" s="62"/>
      <c r="S26" s="62"/>
      <c r="T26" s="63" t="str">
        <f t="shared" si="1"/>
        <v>N.v.t.</v>
      </c>
      <c r="U26" s="64"/>
      <c r="V26" s="65"/>
      <c r="W26" s="62"/>
      <c r="X26" s="64"/>
      <c r="Y26" s="66"/>
    </row>
    <row r="27" spans="1:25" x14ac:dyDescent="0.2">
      <c r="A27" s="55"/>
      <c r="B27" s="339"/>
      <c r="C27" s="340"/>
      <c r="D27" s="340"/>
      <c r="E27" s="340"/>
      <c r="F27" s="340"/>
      <c r="G27" s="340"/>
      <c r="H27" s="340"/>
      <c r="I27" s="341"/>
      <c r="J27" s="56"/>
      <c r="K27" s="57"/>
      <c r="L27" s="58"/>
      <c r="M27" s="59"/>
      <c r="N27" s="60">
        <f t="shared" si="2"/>
        <v>0</v>
      </c>
      <c r="O27" s="97"/>
      <c r="P27" s="61">
        <f t="shared" si="0"/>
        <v>0</v>
      </c>
      <c r="Q27" s="62"/>
      <c r="R27" s="62"/>
      <c r="S27" s="62"/>
      <c r="T27" s="63" t="str">
        <f t="shared" si="1"/>
        <v>N.v.t.</v>
      </c>
      <c r="U27" s="64"/>
      <c r="V27" s="65"/>
      <c r="W27" s="62"/>
      <c r="X27" s="64"/>
      <c r="Y27" s="66"/>
    </row>
    <row r="28" spans="1:25" x14ac:dyDescent="0.2">
      <c r="A28" s="55"/>
      <c r="B28" s="339"/>
      <c r="C28" s="340"/>
      <c r="D28" s="340"/>
      <c r="E28" s="340"/>
      <c r="F28" s="340"/>
      <c r="G28" s="340"/>
      <c r="H28" s="340"/>
      <c r="I28" s="341"/>
      <c r="J28" s="56"/>
      <c r="K28" s="57"/>
      <c r="L28" s="58"/>
      <c r="M28" s="59"/>
      <c r="N28" s="60">
        <f t="shared" si="2"/>
        <v>0</v>
      </c>
      <c r="O28" s="97"/>
      <c r="P28" s="61">
        <f t="shared" si="0"/>
        <v>0</v>
      </c>
      <c r="Q28" s="62"/>
      <c r="R28" s="62"/>
      <c r="S28" s="62"/>
      <c r="T28" s="63" t="str">
        <f t="shared" si="1"/>
        <v>N.v.t.</v>
      </c>
      <c r="U28" s="64"/>
      <c r="V28" s="65"/>
      <c r="W28" s="62"/>
      <c r="X28" s="64"/>
      <c r="Y28" s="66"/>
    </row>
    <row r="29" spans="1:25" x14ac:dyDescent="0.2">
      <c r="A29" s="55"/>
      <c r="B29" s="339"/>
      <c r="C29" s="340"/>
      <c r="D29" s="340"/>
      <c r="E29" s="340"/>
      <c r="F29" s="340"/>
      <c r="G29" s="340"/>
      <c r="H29" s="340"/>
      <c r="I29" s="341"/>
      <c r="J29" s="56"/>
      <c r="K29" s="57"/>
      <c r="L29" s="58"/>
      <c r="M29" s="59"/>
      <c r="N29" s="60">
        <f t="shared" si="2"/>
        <v>0</v>
      </c>
      <c r="O29" s="97"/>
      <c r="P29" s="61">
        <f t="shared" si="0"/>
        <v>0</v>
      </c>
      <c r="Q29" s="62"/>
      <c r="R29" s="62"/>
      <c r="S29" s="62"/>
      <c r="T29" s="63" t="str">
        <f t="shared" si="1"/>
        <v>N.v.t.</v>
      </c>
      <c r="U29" s="64"/>
      <c r="V29" s="65"/>
      <c r="W29" s="62"/>
      <c r="X29" s="64"/>
      <c r="Y29" s="66"/>
    </row>
    <row r="30" spans="1:25" x14ac:dyDescent="0.2">
      <c r="A30" s="55"/>
      <c r="B30" s="339"/>
      <c r="C30" s="340"/>
      <c r="D30" s="340"/>
      <c r="E30" s="340"/>
      <c r="F30" s="340"/>
      <c r="G30" s="340"/>
      <c r="H30" s="340"/>
      <c r="I30" s="341"/>
      <c r="J30" s="56"/>
      <c r="K30" s="57"/>
      <c r="L30" s="58"/>
      <c r="M30" s="59"/>
      <c r="N30" s="60">
        <f t="shared" si="2"/>
        <v>0</v>
      </c>
      <c r="O30" s="97"/>
      <c r="P30" s="61">
        <f t="shared" si="0"/>
        <v>0</v>
      </c>
      <c r="Q30" s="62"/>
      <c r="R30" s="62"/>
      <c r="S30" s="62"/>
      <c r="T30" s="63" t="str">
        <f t="shared" si="1"/>
        <v>N.v.t.</v>
      </c>
      <c r="U30" s="64"/>
      <c r="V30" s="65"/>
      <c r="W30" s="62"/>
      <c r="X30" s="64"/>
      <c r="Y30" s="66"/>
    </row>
    <row r="31" spans="1:25" x14ac:dyDescent="0.2">
      <c r="A31" s="55"/>
      <c r="B31" s="339"/>
      <c r="C31" s="340"/>
      <c r="D31" s="340"/>
      <c r="E31" s="340"/>
      <c r="F31" s="340"/>
      <c r="G31" s="340"/>
      <c r="H31" s="340"/>
      <c r="I31" s="341"/>
      <c r="J31" s="56"/>
      <c r="K31" s="57"/>
      <c r="L31" s="58"/>
      <c r="M31" s="59"/>
      <c r="N31" s="60">
        <f t="shared" si="2"/>
        <v>0</v>
      </c>
      <c r="O31" s="97"/>
      <c r="P31" s="61">
        <f t="shared" si="0"/>
        <v>0</v>
      </c>
      <c r="Q31" s="62"/>
      <c r="R31" s="62"/>
      <c r="S31" s="62"/>
      <c r="T31" s="63" t="str">
        <f t="shared" si="1"/>
        <v>N.v.t.</v>
      </c>
      <c r="U31" s="64"/>
      <c r="V31" s="65"/>
      <c r="W31" s="62"/>
      <c r="X31" s="64"/>
      <c r="Y31" s="66"/>
    </row>
    <row r="32" spans="1:25" x14ac:dyDescent="0.2">
      <c r="A32" s="55"/>
      <c r="B32" s="339"/>
      <c r="C32" s="340"/>
      <c r="D32" s="340"/>
      <c r="E32" s="340"/>
      <c r="F32" s="340"/>
      <c r="G32" s="340"/>
      <c r="H32" s="340"/>
      <c r="I32" s="341"/>
      <c r="J32" s="56"/>
      <c r="K32" s="57"/>
      <c r="L32" s="58"/>
      <c r="M32" s="59"/>
      <c r="N32" s="60">
        <f t="shared" si="2"/>
        <v>0</v>
      </c>
      <c r="O32" s="97"/>
      <c r="P32" s="61">
        <f t="shared" si="0"/>
        <v>0</v>
      </c>
      <c r="Q32" s="62"/>
      <c r="R32" s="62"/>
      <c r="S32" s="62"/>
      <c r="T32" s="63" t="str">
        <f t="shared" si="1"/>
        <v>N.v.t.</v>
      </c>
      <c r="U32" s="64"/>
      <c r="V32" s="65"/>
      <c r="W32" s="62"/>
      <c r="X32" s="64"/>
      <c r="Y32" s="66"/>
    </row>
    <row r="33" spans="1:25" x14ac:dyDescent="0.2">
      <c r="A33" s="55"/>
      <c r="B33" s="339"/>
      <c r="C33" s="340"/>
      <c r="D33" s="340"/>
      <c r="E33" s="340"/>
      <c r="F33" s="340"/>
      <c r="G33" s="340"/>
      <c r="H33" s="340"/>
      <c r="I33" s="341"/>
      <c r="J33" s="56"/>
      <c r="K33" s="57"/>
      <c r="L33" s="58"/>
      <c r="M33" s="59"/>
      <c r="N33" s="60">
        <f t="shared" si="2"/>
        <v>0</v>
      </c>
      <c r="O33" s="97"/>
      <c r="P33" s="61">
        <f t="shared" si="0"/>
        <v>0</v>
      </c>
      <c r="Q33" s="62"/>
      <c r="R33" s="62"/>
      <c r="S33" s="62"/>
      <c r="T33" s="63" t="str">
        <f t="shared" si="1"/>
        <v>N.v.t.</v>
      </c>
      <c r="U33" s="64"/>
      <c r="V33" s="65"/>
      <c r="W33" s="62"/>
      <c r="X33" s="64"/>
      <c r="Y33" s="66"/>
    </row>
    <row r="34" spans="1:25" x14ac:dyDescent="0.2">
      <c r="A34" s="55"/>
      <c r="B34" s="339"/>
      <c r="C34" s="340"/>
      <c r="D34" s="340"/>
      <c r="E34" s="340"/>
      <c r="F34" s="340"/>
      <c r="G34" s="340"/>
      <c r="H34" s="340"/>
      <c r="I34" s="341"/>
      <c r="J34" s="56"/>
      <c r="K34" s="57"/>
      <c r="L34" s="58"/>
      <c r="M34" s="59"/>
      <c r="N34" s="60">
        <f t="shared" si="2"/>
        <v>0</v>
      </c>
      <c r="O34" s="97"/>
      <c r="P34" s="61">
        <f t="shared" si="0"/>
        <v>0</v>
      </c>
      <c r="Q34" s="62"/>
      <c r="R34" s="62"/>
      <c r="S34" s="62"/>
      <c r="T34" s="63" t="str">
        <f t="shared" si="1"/>
        <v>N.v.t.</v>
      </c>
      <c r="U34" s="64"/>
      <c r="V34" s="65"/>
      <c r="W34" s="62"/>
      <c r="X34" s="64"/>
      <c r="Y34" s="66"/>
    </row>
    <row r="35" spans="1:25" x14ac:dyDescent="0.2">
      <c r="A35" s="67"/>
      <c r="B35" s="342"/>
      <c r="C35" s="343"/>
      <c r="D35" s="343"/>
      <c r="E35" s="343"/>
      <c r="F35" s="343"/>
      <c r="G35" s="343"/>
      <c r="H35" s="343"/>
      <c r="I35" s="344"/>
      <c r="J35" s="68"/>
      <c r="K35" s="69"/>
      <c r="L35" s="70"/>
      <c r="M35" s="71"/>
      <c r="N35" s="72">
        <f>M35/0.9</f>
        <v>0</v>
      </c>
      <c r="O35" s="98"/>
      <c r="P35" s="73">
        <f t="shared" si="0"/>
        <v>0</v>
      </c>
      <c r="Q35" s="74"/>
      <c r="R35" s="74"/>
      <c r="S35" s="74"/>
      <c r="T35" s="75" t="str">
        <f t="shared" si="1"/>
        <v>N.v.t.</v>
      </c>
      <c r="U35" s="76"/>
      <c r="V35" s="77"/>
      <c r="W35" s="74"/>
      <c r="X35" s="76"/>
      <c r="Y35" s="78"/>
    </row>
    <row r="36" spans="1:25" x14ac:dyDescent="0.25">
      <c r="A36" s="7"/>
      <c r="F36" s="7"/>
      <c r="M36" s="79" t="s">
        <v>118</v>
      </c>
      <c r="N36" s="80">
        <f>SUM(N16:N35)</f>
        <v>0</v>
      </c>
      <c r="O36" s="81" t="s">
        <v>119</v>
      </c>
      <c r="P36" s="82"/>
    </row>
    <row r="37" spans="1:25" x14ac:dyDescent="0.25">
      <c r="A37" s="7"/>
      <c r="M37" s="84" t="s">
        <v>120</v>
      </c>
      <c r="N37" s="85">
        <f>IF(N36=0,0,(SUM(P16:P35)/SUM(N16:N35)))</f>
        <v>0</v>
      </c>
      <c r="O37" s="81"/>
    </row>
    <row r="38" spans="1:25" x14ac:dyDescent="0.25">
      <c r="A38" s="7"/>
      <c r="M38" s="79" t="s">
        <v>121</v>
      </c>
      <c r="N38" s="80">
        <f>N36*N37</f>
        <v>0</v>
      </c>
      <c r="O38" s="81" t="s">
        <v>119</v>
      </c>
    </row>
    <row r="39" spans="1:25" ht="14.25" x14ac:dyDescent="0.2">
      <c r="A39" s="7"/>
    </row>
    <row r="40" spans="1:25" x14ac:dyDescent="0.25">
      <c r="A40" s="7"/>
      <c r="M40" s="79"/>
      <c r="N40" s="80"/>
      <c r="O40" s="81"/>
    </row>
    <row r="41" spans="1:25" x14ac:dyDescent="0.25">
      <c r="A41" s="345" t="s">
        <v>122</v>
      </c>
      <c r="B41" s="345"/>
      <c r="C41" s="345"/>
      <c r="D41" s="345"/>
      <c r="E41" s="345"/>
      <c r="F41" s="345"/>
      <c r="G41" s="345"/>
    </row>
    <row r="42" spans="1:25" s="87" customFormat="1" ht="45" customHeight="1" x14ac:dyDescent="0.2">
      <c r="A42" s="86" t="s">
        <v>123</v>
      </c>
      <c r="B42" s="346" t="s">
        <v>6</v>
      </c>
      <c r="C42" s="346"/>
      <c r="D42" s="346"/>
      <c r="E42" s="346"/>
      <c r="F42" s="346"/>
      <c r="G42" s="346"/>
      <c r="H42" s="346"/>
      <c r="I42" s="346"/>
      <c r="J42" s="86" t="s">
        <v>105</v>
      </c>
      <c r="K42" s="347" t="s">
        <v>102</v>
      </c>
      <c r="L42" s="348"/>
      <c r="M42" s="348"/>
      <c r="N42" s="349"/>
    </row>
    <row r="43" spans="1:25" x14ac:dyDescent="0.2">
      <c r="A43" s="88">
        <v>1</v>
      </c>
      <c r="B43" s="325" t="s">
        <v>124</v>
      </c>
      <c r="C43" s="326"/>
      <c r="D43" s="326"/>
      <c r="E43" s="326"/>
      <c r="F43" s="326"/>
      <c r="G43" s="326"/>
      <c r="H43" s="326"/>
      <c r="I43" s="327"/>
      <c r="J43" s="56"/>
      <c r="K43" s="328"/>
      <c r="L43" s="329"/>
      <c r="M43" s="329"/>
      <c r="N43" s="330"/>
    </row>
    <row r="44" spans="1:25" x14ac:dyDescent="0.2">
      <c r="A44" s="88">
        <v>12</v>
      </c>
      <c r="B44" s="335" t="s">
        <v>125</v>
      </c>
      <c r="C44" s="335"/>
      <c r="D44" s="335"/>
      <c r="E44" s="335"/>
      <c r="F44" s="335"/>
      <c r="G44" s="335"/>
      <c r="H44" s="335"/>
      <c r="I44" s="335"/>
      <c r="J44" s="56"/>
      <c r="K44" s="328"/>
      <c r="L44" s="329"/>
      <c r="M44" s="329"/>
      <c r="N44" s="330"/>
    </row>
    <row r="45" spans="1:25" x14ac:dyDescent="0.2">
      <c r="A45" s="88"/>
      <c r="B45" s="336"/>
      <c r="C45" s="337"/>
      <c r="D45" s="337"/>
      <c r="E45" s="337"/>
      <c r="F45" s="337"/>
      <c r="G45" s="337"/>
      <c r="H45" s="337"/>
      <c r="I45" s="338"/>
      <c r="J45" s="56"/>
      <c r="K45" s="328"/>
      <c r="L45" s="329"/>
      <c r="M45" s="329"/>
      <c r="N45" s="330"/>
    </row>
    <row r="46" spans="1:25" x14ac:dyDescent="0.2">
      <c r="A46" s="88"/>
      <c r="B46" s="335"/>
      <c r="C46" s="335"/>
      <c r="D46" s="335"/>
      <c r="E46" s="335"/>
      <c r="F46" s="335"/>
      <c r="G46" s="335"/>
      <c r="H46" s="335"/>
      <c r="I46" s="335"/>
      <c r="J46" s="56"/>
      <c r="K46" s="328"/>
      <c r="L46" s="329"/>
      <c r="M46" s="329"/>
      <c r="N46" s="330"/>
    </row>
    <row r="47" spans="1:25" x14ac:dyDescent="0.2">
      <c r="A47" s="88"/>
      <c r="B47" s="325"/>
      <c r="C47" s="326"/>
      <c r="D47" s="326"/>
      <c r="E47" s="326"/>
      <c r="F47" s="326"/>
      <c r="G47" s="326"/>
      <c r="H47" s="326"/>
      <c r="I47" s="327"/>
      <c r="J47" s="56"/>
      <c r="K47" s="328"/>
      <c r="L47" s="329"/>
      <c r="M47" s="329"/>
      <c r="N47" s="330"/>
    </row>
    <row r="48" spans="1:25" x14ac:dyDescent="0.2">
      <c r="A48" s="88"/>
      <c r="B48" s="325"/>
      <c r="C48" s="326"/>
      <c r="D48" s="326"/>
      <c r="E48" s="326"/>
      <c r="F48" s="326"/>
      <c r="G48" s="326"/>
      <c r="H48" s="326"/>
      <c r="I48" s="327"/>
      <c r="J48" s="56"/>
      <c r="K48" s="328"/>
      <c r="L48" s="329"/>
      <c r="M48" s="329"/>
      <c r="N48" s="330"/>
    </row>
    <row r="49" spans="1:14" x14ac:dyDescent="0.2">
      <c r="A49" s="88"/>
      <c r="B49" s="325"/>
      <c r="C49" s="326"/>
      <c r="D49" s="326"/>
      <c r="E49" s="326"/>
      <c r="F49" s="326"/>
      <c r="G49" s="326"/>
      <c r="H49" s="326"/>
      <c r="I49" s="327"/>
      <c r="J49" s="56"/>
      <c r="K49" s="328"/>
      <c r="L49" s="329"/>
      <c r="M49" s="329"/>
      <c r="N49" s="330"/>
    </row>
    <row r="50" spans="1:14" x14ac:dyDescent="0.2">
      <c r="A50" s="88"/>
      <c r="B50" s="325"/>
      <c r="C50" s="326"/>
      <c r="D50" s="326"/>
      <c r="E50" s="326"/>
      <c r="F50" s="326"/>
      <c r="G50" s="326"/>
      <c r="H50" s="326"/>
      <c r="I50" s="327"/>
      <c r="J50" s="56"/>
      <c r="K50" s="328"/>
      <c r="L50" s="329"/>
      <c r="M50" s="329"/>
      <c r="N50" s="330"/>
    </row>
    <row r="51" spans="1:14" x14ac:dyDescent="0.2">
      <c r="A51" s="88"/>
      <c r="B51" s="89"/>
      <c r="C51" s="90"/>
      <c r="D51" s="90"/>
      <c r="E51" s="90"/>
      <c r="F51" s="90"/>
      <c r="G51" s="90"/>
      <c r="H51" s="90"/>
      <c r="I51" s="91"/>
      <c r="J51" s="56"/>
      <c r="K51" s="92"/>
      <c r="L51" s="93"/>
      <c r="M51" s="93"/>
      <c r="N51" s="94"/>
    </row>
    <row r="52" spans="1:14" x14ac:dyDescent="0.2">
      <c r="A52" s="88"/>
      <c r="B52" s="89"/>
      <c r="C52" s="90"/>
      <c r="D52" s="90"/>
      <c r="E52" s="90"/>
      <c r="F52" s="90"/>
      <c r="G52" s="90"/>
      <c r="H52" s="90"/>
      <c r="I52" s="91"/>
      <c r="J52" s="56"/>
      <c r="K52" s="92"/>
      <c r="L52" s="93"/>
      <c r="M52" s="93"/>
      <c r="N52" s="94"/>
    </row>
    <row r="53" spans="1:14" x14ac:dyDescent="0.2">
      <c r="A53" s="88"/>
      <c r="B53" s="89"/>
      <c r="C53" s="90"/>
      <c r="D53" s="90"/>
      <c r="E53" s="90"/>
      <c r="F53" s="90"/>
      <c r="G53" s="90"/>
      <c r="H53" s="90"/>
      <c r="I53" s="91"/>
      <c r="J53" s="56"/>
      <c r="K53" s="92"/>
      <c r="L53" s="93"/>
      <c r="M53" s="93"/>
      <c r="N53" s="94"/>
    </row>
    <row r="54" spans="1:14" x14ac:dyDescent="0.2">
      <c r="A54" s="88"/>
      <c r="B54" s="89"/>
      <c r="C54" s="90"/>
      <c r="D54" s="90"/>
      <c r="E54" s="90"/>
      <c r="F54" s="90"/>
      <c r="G54" s="90"/>
      <c r="H54" s="90"/>
      <c r="I54" s="91"/>
      <c r="J54" s="56"/>
      <c r="K54" s="92"/>
      <c r="L54" s="93"/>
      <c r="M54" s="93"/>
      <c r="N54" s="94"/>
    </row>
    <row r="55" spans="1:14" x14ac:dyDescent="0.2">
      <c r="A55" s="88"/>
      <c r="B55" s="89"/>
      <c r="C55" s="90"/>
      <c r="D55" s="90"/>
      <c r="E55" s="90"/>
      <c r="F55" s="90"/>
      <c r="G55" s="90"/>
      <c r="H55" s="90"/>
      <c r="I55" s="91"/>
      <c r="J55" s="56"/>
      <c r="K55" s="92"/>
      <c r="L55" s="93"/>
      <c r="M55" s="93"/>
      <c r="N55" s="94"/>
    </row>
    <row r="56" spans="1:14" x14ac:dyDescent="0.2">
      <c r="A56" s="88"/>
      <c r="B56" s="325"/>
      <c r="C56" s="326"/>
      <c r="D56" s="326"/>
      <c r="E56" s="326"/>
      <c r="F56" s="326"/>
      <c r="G56" s="326"/>
      <c r="H56" s="326"/>
      <c r="I56" s="327"/>
      <c r="J56" s="56"/>
      <c r="K56" s="328"/>
      <c r="L56" s="329"/>
      <c r="M56" s="329"/>
      <c r="N56" s="330"/>
    </row>
    <row r="57" spans="1:14" x14ac:dyDescent="0.2">
      <c r="A57" s="95"/>
      <c r="B57" s="331"/>
      <c r="C57" s="331"/>
      <c r="D57" s="331"/>
      <c r="E57" s="331"/>
      <c r="F57" s="331"/>
      <c r="G57" s="331"/>
      <c r="H57" s="331"/>
      <c r="I57" s="331"/>
      <c r="J57" s="68"/>
      <c r="K57" s="332"/>
      <c r="L57" s="333"/>
      <c r="M57" s="333"/>
      <c r="N57" s="334"/>
    </row>
  </sheetData>
  <dataConsolidate/>
  <mergeCells count="54">
    <mergeCell ref="B15:I15"/>
    <mergeCell ref="A14:G14"/>
    <mergeCell ref="B27:I27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43:I43"/>
    <mergeCell ref="K43:N43"/>
    <mergeCell ref="B28:I28"/>
    <mergeCell ref="B29:I29"/>
    <mergeCell ref="B30:I30"/>
    <mergeCell ref="B31:I31"/>
    <mergeCell ref="B32:I32"/>
    <mergeCell ref="B33:I33"/>
    <mergeCell ref="B34:I34"/>
    <mergeCell ref="B35:I35"/>
    <mergeCell ref="A41:G41"/>
    <mergeCell ref="B42:I42"/>
    <mergeCell ref="K42:N42"/>
    <mergeCell ref="B44:I44"/>
    <mergeCell ref="K44:N44"/>
    <mergeCell ref="B45:I45"/>
    <mergeCell ref="K45:N45"/>
    <mergeCell ref="B46:I46"/>
    <mergeCell ref="K46:N46"/>
    <mergeCell ref="B47:I47"/>
    <mergeCell ref="K47:N47"/>
    <mergeCell ref="B48:I48"/>
    <mergeCell ref="K48:N48"/>
    <mergeCell ref="B49:I49"/>
    <mergeCell ref="K49:N49"/>
    <mergeCell ref="B50:I50"/>
    <mergeCell ref="K50:N50"/>
    <mergeCell ref="B56:I56"/>
    <mergeCell ref="K56:N56"/>
    <mergeCell ref="B57:I57"/>
    <mergeCell ref="K57:N57"/>
    <mergeCell ref="A9:B9"/>
    <mergeCell ref="A8:B8"/>
    <mergeCell ref="A10:B10"/>
    <mergeCell ref="A11:B11"/>
    <mergeCell ref="C7:F7"/>
    <mergeCell ref="C8:F8"/>
    <mergeCell ref="C9:F9"/>
    <mergeCell ref="C10:F10"/>
    <mergeCell ref="C11:F11"/>
  </mergeCells>
  <dataValidations count="3">
    <dataValidation type="list" allowBlank="1" showInputMessage="1" showErrorMessage="1" sqref="S16:S35" xr:uid="{97046CBD-F974-4DB1-BF29-42F9EE61C1EF}">
      <formula1>"B, C, D, Gg"</formula1>
    </dataValidation>
    <dataValidation type="list" allowBlank="1" showInputMessage="1" showErrorMessage="1" sqref="K16:K35" xr:uid="{3B8B0C5C-021B-4B90-9B24-E3FBF107EC3A}">
      <formula1>"0,24,230,400"</formula1>
    </dataValidation>
    <dataValidation type="list" allowBlank="1" showInputMessage="1" showErrorMessage="1" sqref="T16:T35" xr:uid="{3426EE93-811B-4B3B-AF7D-1113B34E0332}">
      <formula1>"N.v.t., Ja, Nee"</formula1>
    </dataValidation>
  </dataValidations>
  <pageMargins left="0.7" right="0.7" top="0.75" bottom="0.75" header="0.3" footer="0.3"/>
  <pageSetup paperSize="9" scale="46" fitToHeight="0" orientation="landscape" r:id="rId1"/>
  <ignoredErrors>
    <ignoredError sqref="T16:T17 N36:N38 T35 T18:T34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877683414ABF4C8D533D095CD88726" ma:contentTypeVersion="12" ma:contentTypeDescription="Een nieuw document maken." ma:contentTypeScope="" ma:versionID="935a6798236d6364f0c801fe65f0a8e3">
  <xsd:schema xmlns:xsd="http://www.w3.org/2001/XMLSchema" xmlns:xs="http://www.w3.org/2001/XMLSchema" xmlns:p="http://schemas.microsoft.com/office/2006/metadata/properties" xmlns:ns2="771e30b6-f91e-44a0-a0de-d6d2d9708c62" xmlns:ns3="c0b2096d-bb4a-46cb-b083-3816298b28d3" targetNamespace="http://schemas.microsoft.com/office/2006/metadata/properties" ma:root="true" ma:fieldsID="2202373b74a67458018a033a33550e32" ns2:_="" ns3:_="">
    <xsd:import namespace="771e30b6-f91e-44a0-a0de-d6d2d9708c62"/>
    <xsd:import namespace="c0b2096d-bb4a-46cb-b083-3816298b28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e30b6-f91e-44a0-a0de-d6d2d9708c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74f9fd84-adc9-48b5-8915-afef0dbfb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2096d-bb4a-46cb-b083-3816298b28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dc8746f-01c0-47bf-b6d4-fbd4374b60c7}" ma:internalName="TaxCatchAll" ma:showField="CatchAllData" ma:web="c0b2096d-bb4a-46cb-b083-3816298b28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0b2096d-bb4a-46cb-b083-3816298b28d3" xsi:nil="true"/>
    <lcf76f155ced4ddcb4097134ff3c332f xmlns="771e30b6-f91e-44a0-a0de-d6d2d9708c6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AD1CD0-45A3-4734-8D26-2C96652CBF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C7F832-842E-44B5-A628-EFA2FB0FB1F6}"/>
</file>

<file path=customXml/itemProps3.xml><?xml version="1.0" encoding="utf-8"?>
<ds:datastoreItem xmlns:ds="http://schemas.openxmlformats.org/officeDocument/2006/customXml" ds:itemID="{8B070240-05C6-43A2-A067-4E7E730BF7C7}">
  <ds:schemaRefs>
    <ds:schemaRef ds:uri="http://schemas.microsoft.com/office/2006/metadata/properties"/>
    <ds:schemaRef ds:uri="http://schemas.microsoft.com/office/infopath/2007/PartnerControls"/>
    <ds:schemaRef ds:uri="cd476741-cbb9-44c9-8833-eda1dd74bdfc"/>
    <ds:schemaRef ds:uri="f7d2ccdf-7bac-471a-aa4a-870d07b4a99a"/>
  </ds:schemaRefs>
</ds:datastoreItem>
</file>

<file path=docMetadata/LabelInfo.xml><?xml version="1.0" encoding="utf-8"?>
<clbl:labelList xmlns:clbl="http://schemas.microsoft.com/office/2020/mipLabelMetadata">
  <clbl:label id="{49705e78-ca79-413b-a0b7-1501a39d4793}" enabled="0" method="" siteId="{49705e78-ca79-413b-a0b7-1501a39d47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3</vt:i4>
      </vt:variant>
    </vt:vector>
  </HeadingPairs>
  <TitlesOfParts>
    <vt:vector size="6" baseType="lpstr">
      <vt:lpstr>RK1</vt:lpstr>
      <vt:lpstr>Naregelingen</vt:lpstr>
      <vt:lpstr>E-voorzieningen</vt:lpstr>
      <vt:lpstr>'E-voorzieningen'!Afdrukbereik</vt:lpstr>
      <vt:lpstr>'RK1'!Afdrukbereik</vt:lpstr>
      <vt:lpstr>'RK1'!Afdruktitels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 Denissen</dc:creator>
  <cp:keywords/>
  <dc:description/>
  <cp:lastModifiedBy>Sven Timmermans</cp:lastModifiedBy>
  <cp:revision/>
  <dcterms:created xsi:type="dcterms:W3CDTF">2011-05-03T07:09:19Z</dcterms:created>
  <dcterms:modified xsi:type="dcterms:W3CDTF">2026-08-03T07:15:43Z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0x0101005F877683414ABF4C8D533D095CD88726</vt:lpwstr>
  </property>
  <property fmtid="{D5CDD505-2E9C-101B-9397-08002B2CF9AE}" pid="3" name="MediaServiceImageTags">
    <vt:lpwstr/>
  </property>
</Properties>
</file>